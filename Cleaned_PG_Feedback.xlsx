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de\Desktop\Pinki project\"/>
    </mc:Choice>
  </mc:AlternateContent>
  <bookViews>
    <workbookView xWindow="0" yWindow="0" windowWidth="15015" windowHeight="4680"/>
  </bookViews>
  <sheets>
    <sheet name="Sheet1" sheetId="1" r:id="rId1"/>
    <sheet name="sheet2" sheetId="4" r:id="rId2"/>
    <sheet name="Sheet5" sheetId="7" r:id="rId3"/>
  </sheets>
  <definedNames>
    <definedName name="_xlnm._FilterDatabase" localSheetId="0" hidden="1">Sheet1!$AA$1:$AA$301</definedName>
  </definedNames>
  <calcPr calcId="162913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AL6" i="1" l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4" i="1"/>
  <c r="AL5" i="1"/>
  <c r="AL7" i="1"/>
  <c r="AL8" i="1"/>
  <c r="AL9" i="1"/>
  <c r="AL10" i="1"/>
  <c r="AL3" i="1"/>
  <c r="AL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F288" i="1" l="1"/>
  <c r="AF277" i="1"/>
  <c r="AF261" i="1"/>
  <c r="AF245" i="1"/>
  <c r="AF235" i="1"/>
  <c r="AF219" i="1"/>
  <c r="AF197" i="1"/>
  <c r="AF181" i="1"/>
  <c r="AF157" i="1"/>
  <c r="AF133" i="1"/>
  <c r="AF117" i="1"/>
  <c r="AF93" i="1"/>
  <c r="AF77" i="1"/>
  <c r="AF53" i="1"/>
  <c r="AF33" i="1"/>
  <c r="AF292" i="1"/>
  <c r="AF276" i="1"/>
  <c r="AF260" i="1"/>
  <c r="AF244" i="1"/>
  <c r="AF233" i="1"/>
  <c r="AF217" i="1"/>
  <c r="AF196" i="1"/>
  <c r="AF172" i="1"/>
  <c r="AF148" i="1"/>
  <c r="AF132" i="1"/>
  <c r="AF108" i="1"/>
  <c r="AF84" i="1"/>
  <c r="AF60" i="1"/>
  <c r="AF29" i="1"/>
  <c r="AF301" i="1"/>
  <c r="AF285" i="1"/>
  <c r="AF275" i="1"/>
  <c r="AF259" i="1"/>
  <c r="AF243" i="1"/>
  <c r="AF232" i="1"/>
  <c r="AF221" i="1"/>
  <c r="AF216" i="1"/>
  <c r="AF209" i="1"/>
  <c r="AF201" i="1"/>
  <c r="AF193" i="1"/>
  <c r="AF185" i="1"/>
  <c r="AF177" i="1"/>
  <c r="AF169" i="1"/>
  <c r="AF161" i="1"/>
  <c r="AF153" i="1"/>
  <c r="AF145" i="1"/>
  <c r="AF137" i="1"/>
  <c r="AF129" i="1"/>
  <c r="AF121" i="1"/>
  <c r="AF113" i="1"/>
  <c r="AF105" i="1"/>
  <c r="AF97" i="1"/>
  <c r="AF89" i="1"/>
  <c r="AF81" i="1"/>
  <c r="AF73" i="1"/>
  <c r="AF65" i="1"/>
  <c r="AF57" i="1"/>
  <c r="AF49" i="1"/>
  <c r="AF41" i="1"/>
  <c r="AF25" i="1"/>
  <c r="AF9" i="1"/>
  <c r="AF299" i="1"/>
  <c r="AF293" i="1"/>
  <c r="AF283" i="1"/>
  <c r="AF272" i="1"/>
  <c r="AF267" i="1"/>
  <c r="AF256" i="1"/>
  <c r="AF251" i="1"/>
  <c r="AF240" i="1"/>
  <c r="AF229" i="1"/>
  <c r="AF224" i="1"/>
  <c r="AF213" i="1"/>
  <c r="AF205" i="1"/>
  <c r="AF189" i="1"/>
  <c r="AF173" i="1"/>
  <c r="AF165" i="1"/>
  <c r="AF149" i="1"/>
  <c r="AF141" i="1"/>
  <c r="AF125" i="1"/>
  <c r="AF109" i="1"/>
  <c r="AF101" i="1"/>
  <c r="AF85" i="1"/>
  <c r="AF69" i="1"/>
  <c r="AF61" i="1"/>
  <c r="AF45" i="1"/>
  <c r="AF17" i="1"/>
  <c r="AF297" i="1"/>
  <c r="AF287" i="1"/>
  <c r="AF281" i="1"/>
  <c r="AF271" i="1"/>
  <c r="AF265" i="1"/>
  <c r="AF255" i="1"/>
  <c r="AF249" i="1"/>
  <c r="AF239" i="1"/>
  <c r="AF228" i="1"/>
  <c r="AF223" i="1"/>
  <c r="AF212" i="1"/>
  <c r="AF204" i="1"/>
  <c r="AF188" i="1"/>
  <c r="AF180" i="1"/>
  <c r="AF164" i="1"/>
  <c r="AF156" i="1"/>
  <c r="AF140" i="1"/>
  <c r="AF124" i="1"/>
  <c r="AF116" i="1"/>
  <c r="AF100" i="1"/>
  <c r="AF92" i="1"/>
  <c r="AF76" i="1"/>
  <c r="AF68" i="1"/>
  <c r="AF52" i="1"/>
  <c r="AF44" i="1"/>
  <c r="AF13" i="1"/>
  <c r="AF296" i="1"/>
  <c r="AF291" i="1"/>
  <c r="AF280" i="1"/>
  <c r="AF269" i="1"/>
  <c r="AF264" i="1"/>
  <c r="AF253" i="1"/>
  <c r="AF248" i="1"/>
  <c r="AF237" i="1"/>
  <c r="AF227" i="1"/>
  <c r="AF300" i="1"/>
  <c r="AF295" i="1"/>
  <c r="AF289" i="1"/>
  <c r="AF284" i="1"/>
  <c r="AF279" i="1"/>
  <c r="AF273" i="1"/>
  <c r="AF268" i="1"/>
  <c r="AF263" i="1"/>
  <c r="AF257" i="1"/>
  <c r="AF252" i="1"/>
  <c r="AF247" i="1"/>
  <c r="AF241" i="1"/>
  <c r="AF236" i="1"/>
  <c r="AF231" i="1"/>
  <c r="AF225" i="1"/>
  <c r="AF220" i="1"/>
  <c r="AF215" i="1"/>
  <c r="AF208" i="1"/>
  <c r="AF200" i="1"/>
  <c r="AF192" i="1"/>
  <c r="AF184" i="1"/>
  <c r="AF176" i="1"/>
  <c r="AF168" i="1"/>
  <c r="AF160" i="1"/>
  <c r="AF152" i="1"/>
  <c r="AF144" i="1"/>
  <c r="AF136" i="1"/>
  <c r="AF128" i="1"/>
  <c r="AF120" i="1"/>
  <c r="AF112" i="1"/>
  <c r="AF104" i="1"/>
  <c r="AF96" i="1"/>
  <c r="AF88" i="1"/>
  <c r="AF80" i="1"/>
  <c r="AF72" i="1"/>
  <c r="AF64" i="1"/>
  <c r="AF56" i="1"/>
  <c r="AF48" i="1"/>
  <c r="AF37" i="1"/>
  <c r="AF21" i="1"/>
  <c r="AF5" i="1"/>
  <c r="AF40" i="1"/>
  <c r="AF36" i="1"/>
  <c r="AF32" i="1"/>
  <c r="AF28" i="1"/>
  <c r="AF24" i="1"/>
  <c r="AF20" i="1"/>
  <c r="AF16" i="1"/>
  <c r="AF12" i="1"/>
  <c r="AF8" i="1"/>
  <c r="AF4" i="1"/>
  <c r="AF3" i="1"/>
  <c r="AF211" i="1"/>
  <c r="AF207" i="1"/>
  <c r="AF203" i="1"/>
  <c r="AF199" i="1"/>
  <c r="AF195" i="1"/>
  <c r="AF191" i="1"/>
  <c r="AF187" i="1"/>
  <c r="AF183" i="1"/>
  <c r="AF179" i="1"/>
  <c r="AF175" i="1"/>
  <c r="AF171" i="1"/>
  <c r="AF167" i="1"/>
  <c r="AF163" i="1"/>
  <c r="AF159" i="1"/>
  <c r="AF155" i="1"/>
  <c r="AF151" i="1"/>
  <c r="AF147" i="1"/>
  <c r="AF143" i="1"/>
  <c r="AF139" i="1"/>
  <c r="AF135" i="1"/>
  <c r="AF131" i="1"/>
  <c r="AF127" i="1"/>
  <c r="AF123" i="1"/>
  <c r="AF119" i="1"/>
  <c r="AF115" i="1"/>
  <c r="AF111" i="1"/>
  <c r="AF107" i="1"/>
  <c r="AF103" i="1"/>
  <c r="AF99" i="1"/>
  <c r="AF95" i="1"/>
  <c r="AF91" i="1"/>
  <c r="AF87" i="1"/>
  <c r="AF83" i="1"/>
  <c r="AF79" i="1"/>
  <c r="AF75" i="1"/>
  <c r="AF71" i="1"/>
  <c r="AF67" i="1"/>
  <c r="AF63" i="1"/>
  <c r="AF59" i="1"/>
  <c r="AF55" i="1"/>
  <c r="AF51" i="1"/>
  <c r="AF47" i="1"/>
  <c r="AF43" i="1"/>
  <c r="AF39" i="1"/>
  <c r="AF35" i="1"/>
  <c r="AF31" i="1"/>
  <c r="AF27" i="1"/>
  <c r="AF23" i="1"/>
  <c r="AF19" i="1"/>
  <c r="AF15" i="1"/>
  <c r="AF11" i="1"/>
  <c r="AF7" i="1"/>
  <c r="AF298" i="1"/>
  <c r="AF294" i="1"/>
  <c r="AF290" i="1"/>
  <c r="AF286" i="1"/>
  <c r="AF282" i="1"/>
  <c r="AF278" i="1"/>
  <c r="AF274" i="1"/>
  <c r="AF270" i="1"/>
  <c r="AF266" i="1"/>
  <c r="AF262" i="1"/>
  <c r="AF258" i="1"/>
  <c r="AF254" i="1"/>
  <c r="AF250" i="1"/>
  <c r="AF246" i="1"/>
  <c r="AF242" i="1"/>
  <c r="AF238" i="1"/>
  <c r="AF234" i="1"/>
  <c r="AF230" i="1"/>
  <c r="AF226" i="1"/>
  <c r="AF222" i="1"/>
  <c r="AF218" i="1"/>
  <c r="AF214" i="1"/>
  <c r="AF210" i="1"/>
  <c r="AF206" i="1"/>
  <c r="AF202" i="1"/>
  <c r="AF198" i="1"/>
  <c r="AF194" i="1"/>
  <c r="AF190" i="1"/>
  <c r="AF186" i="1"/>
  <c r="AF182" i="1"/>
  <c r="AF178" i="1"/>
  <c r="AF174" i="1"/>
  <c r="AF170" i="1"/>
  <c r="AF166" i="1"/>
  <c r="AF162" i="1"/>
  <c r="AF158" i="1"/>
  <c r="AF154" i="1"/>
  <c r="AF150" i="1"/>
  <c r="AF146" i="1"/>
  <c r="AF142" i="1"/>
  <c r="AF138" i="1"/>
  <c r="AF134" i="1"/>
  <c r="AF130" i="1"/>
  <c r="AF126" i="1"/>
  <c r="AF122" i="1"/>
  <c r="AF118" i="1"/>
  <c r="AF114" i="1"/>
  <c r="AF110" i="1"/>
  <c r="AF106" i="1"/>
  <c r="AF102" i="1"/>
  <c r="AF98" i="1"/>
  <c r="AF94" i="1"/>
  <c r="AF90" i="1"/>
  <c r="AF86" i="1"/>
  <c r="AF82" i="1"/>
  <c r="AF78" i="1"/>
  <c r="AF74" i="1"/>
  <c r="AF70" i="1"/>
  <c r="AF66" i="1"/>
  <c r="AF62" i="1"/>
  <c r="AF58" i="1"/>
  <c r="AF54" i="1"/>
  <c r="AF50" i="1"/>
  <c r="AF46" i="1"/>
  <c r="AF42" i="1"/>
  <c r="AF38" i="1"/>
  <c r="AF34" i="1"/>
  <c r="AF30" i="1"/>
  <c r="AF26" i="1"/>
  <c r="AF22" i="1"/>
  <c r="AF18" i="1"/>
  <c r="AF14" i="1"/>
  <c r="AF10" i="1"/>
  <c r="AF6" i="1"/>
  <c r="AF2" i="1"/>
  <c r="AE300" i="1"/>
  <c r="AE298" i="1" s="1"/>
  <c r="AE296" i="1" s="1"/>
  <c r="AE294" i="1" s="1"/>
  <c r="AE292" i="1" s="1"/>
  <c r="AE290" i="1" s="1"/>
  <c r="AE288" i="1" s="1"/>
  <c r="AE286" i="1" s="1"/>
  <c r="AE284" i="1" s="1"/>
  <c r="AE282" i="1" s="1"/>
  <c r="AE280" i="1" s="1"/>
  <c r="AE278" i="1" s="1"/>
  <c r="AE276" i="1" s="1"/>
  <c r="AE274" i="1" s="1"/>
  <c r="AE272" i="1" s="1"/>
  <c r="AE270" i="1" s="1"/>
  <c r="AE268" i="1" s="1"/>
  <c r="AE266" i="1" s="1"/>
  <c r="AE264" i="1" s="1"/>
  <c r="AE262" i="1" s="1"/>
  <c r="AE260" i="1" s="1"/>
  <c r="AE258" i="1" s="1"/>
  <c r="AE256" i="1" s="1"/>
  <c r="AE254" i="1" s="1"/>
  <c r="AE252" i="1" s="1"/>
  <c r="AE250" i="1" s="1"/>
  <c r="AE248" i="1" s="1"/>
  <c r="AE246" i="1" s="1"/>
  <c r="AE244" i="1" s="1"/>
  <c r="AE242" i="1" s="1"/>
  <c r="AE240" i="1" s="1"/>
  <c r="AE238" i="1" s="1"/>
  <c r="AE236" i="1" s="1"/>
  <c r="AE234" i="1" s="1"/>
  <c r="AE232" i="1" s="1"/>
  <c r="AE230" i="1" s="1"/>
  <c r="AE228" i="1" s="1"/>
  <c r="AE226" i="1" s="1"/>
  <c r="AE224" i="1" s="1"/>
  <c r="AE222" i="1" s="1"/>
  <c r="AE220" i="1" s="1"/>
  <c r="AE218" i="1" s="1"/>
  <c r="AE216" i="1" s="1"/>
  <c r="AE214" i="1" s="1"/>
  <c r="AE212" i="1" s="1"/>
  <c r="AE210" i="1" s="1"/>
  <c r="AE208" i="1" s="1"/>
  <c r="AE206" i="1" s="1"/>
  <c r="AE204" i="1" s="1"/>
  <c r="AE202" i="1" s="1"/>
  <c r="AE200" i="1" s="1"/>
  <c r="AE198" i="1" s="1"/>
  <c r="AE196" i="1" s="1"/>
  <c r="AE194" i="1" s="1"/>
  <c r="AE192" i="1" s="1"/>
  <c r="AE190" i="1" s="1"/>
  <c r="AE301" i="1"/>
  <c r="AE299" i="1" s="1"/>
  <c r="AE297" i="1" s="1"/>
  <c r="AE295" i="1" s="1"/>
  <c r="AE293" i="1" s="1"/>
  <c r="AE188" i="1" l="1"/>
  <c r="AE186" i="1" s="1"/>
  <c r="AE184" i="1" s="1"/>
  <c r="AE182" i="1" s="1"/>
  <c r="AE180" i="1" s="1"/>
  <c r="AE178" i="1" s="1"/>
  <c r="AE176" i="1" s="1"/>
  <c r="AE174" i="1" s="1"/>
  <c r="AE172" i="1" s="1"/>
  <c r="AE170" i="1" s="1"/>
  <c r="AE168" i="1" s="1"/>
  <c r="AE291" i="1"/>
  <c r="AE289" i="1" s="1"/>
  <c r="AE287" i="1" s="1"/>
  <c r="AE285" i="1" s="1"/>
  <c r="AE283" i="1" l="1"/>
  <c r="AE281" i="1" s="1"/>
  <c r="AE279" i="1" s="1"/>
  <c r="AE277" i="1" s="1"/>
  <c r="AE275" i="1" s="1"/>
  <c r="AE273" i="1" s="1"/>
  <c r="AE271" i="1" s="1"/>
  <c r="AE269" i="1" s="1"/>
  <c r="AE267" i="1" s="1"/>
  <c r="AE265" i="1" s="1"/>
  <c r="AE263" i="1" s="1"/>
  <c r="AE261" i="1" s="1"/>
  <c r="AE259" i="1" s="1"/>
  <c r="AE257" i="1" s="1"/>
  <c r="AE166" i="1"/>
  <c r="AE164" i="1" s="1"/>
  <c r="AE162" i="1" s="1"/>
  <c r="AE160" i="1" l="1"/>
  <c r="AE158" i="1" s="1"/>
  <c r="AE156" i="1" s="1"/>
  <c r="AE255" i="1"/>
  <c r="AE253" i="1" s="1"/>
  <c r="AE251" i="1" s="1"/>
  <c r="AE249" i="1" s="1"/>
  <c r="AE247" i="1" s="1"/>
  <c r="AE245" i="1" s="1"/>
  <c r="AE243" i="1" s="1"/>
  <c r="AE241" i="1" s="1"/>
  <c r="AE239" i="1" s="1"/>
  <c r="AE237" i="1" s="1"/>
  <c r="AE235" i="1" s="1"/>
  <c r="AE233" i="1" s="1"/>
  <c r="AE231" i="1" s="1"/>
  <c r="AE229" i="1" l="1"/>
  <c r="AE227" i="1" s="1"/>
  <c r="AE225" i="1" s="1"/>
  <c r="AE223" i="1" s="1"/>
  <c r="AE221" i="1" s="1"/>
  <c r="AE219" i="1" s="1"/>
  <c r="AE154" i="1"/>
  <c r="AE152" i="1" s="1"/>
  <c r="AE150" i="1" s="1"/>
  <c r="AE148" i="1" s="1"/>
  <c r="AE146" i="1" l="1"/>
  <c r="AE144" i="1" s="1"/>
  <c r="AE142" i="1" s="1"/>
  <c r="AE140" i="1" s="1"/>
  <c r="AE138" i="1" s="1"/>
  <c r="AE136" i="1" s="1"/>
  <c r="AE134" i="1" s="1"/>
  <c r="AE132" i="1" s="1"/>
  <c r="AE130" i="1" s="1"/>
  <c r="AE128" i="1" s="1"/>
  <c r="AE217" i="1"/>
  <c r="AE215" i="1" s="1"/>
  <c r="AE213" i="1" s="1"/>
  <c r="AE211" i="1" s="1"/>
  <c r="AE209" i="1" s="1"/>
  <c r="AE207" i="1" s="1"/>
  <c r="AE205" i="1" s="1"/>
  <c r="AE203" i="1" s="1"/>
  <c r="AE201" i="1" s="1"/>
  <c r="AE199" i="1" s="1"/>
  <c r="AE197" i="1" s="1"/>
  <c r="AE195" i="1" s="1"/>
  <c r="AE193" i="1" s="1"/>
  <c r="AE191" i="1" s="1"/>
  <c r="AE189" i="1" s="1"/>
  <c r="AE187" i="1" s="1"/>
  <c r="AE185" i="1" s="1"/>
  <c r="AE183" i="1" s="1"/>
  <c r="AE181" i="1" s="1"/>
  <c r="AE179" i="1" s="1"/>
  <c r="AE177" i="1" s="1"/>
  <c r="AE175" i="1" s="1"/>
  <c r="AE173" i="1" s="1"/>
  <c r="AE171" i="1" s="1"/>
  <c r="AE169" i="1" l="1"/>
  <c r="AE167" i="1" s="1"/>
  <c r="AE165" i="1" s="1"/>
  <c r="AE163" i="1" s="1"/>
  <c r="AE161" i="1" s="1"/>
  <c r="AE159" i="1" s="1"/>
  <c r="AE157" i="1" s="1"/>
  <c r="AE155" i="1" s="1"/>
  <c r="AE153" i="1" s="1"/>
  <c r="AE151" i="1" s="1"/>
  <c r="AE149" i="1" s="1"/>
  <c r="AE147" i="1" s="1"/>
  <c r="AE145" i="1" s="1"/>
  <c r="AE143" i="1" s="1"/>
  <c r="AE141" i="1" s="1"/>
  <c r="AE139" i="1" s="1"/>
  <c r="AE137" i="1" s="1"/>
  <c r="AE135" i="1" s="1"/>
  <c r="AE133" i="1" s="1"/>
  <c r="AE131" i="1" s="1"/>
  <c r="AE129" i="1" s="1"/>
  <c r="AE127" i="1" s="1"/>
  <c r="AE125" i="1" s="1"/>
  <c r="AE123" i="1" s="1"/>
  <c r="AE121" i="1" s="1"/>
  <c r="AE119" i="1" s="1"/>
  <c r="AE117" i="1" s="1"/>
  <c r="AE115" i="1" s="1"/>
  <c r="AE113" i="1" s="1"/>
  <c r="AE111" i="1" s="1"/>
  <c r="AE109" i="1" s="1"/>
  <c r="AE107" i="1" s="1"/>
  <c r="AE105" i="1" s="1"/>
  <c r="AE103" i="1" s="1"/>
  <c r="AE101" i="1" s="1"/>
  <c r="AE99" i="1" s="1"/>
  <c r="AE97" i="1" s="1"/>
  <c r="AE95" i="1" s="1"/>
  <c r="AE93" i="1" s="1"/>
  <c r="AE91" i="1" s="1"/>
  <c r="AE89" i="1" s="1"/>
  <c r="AE87" i="1" s="1"/>
  <c r="AE85" i="1" s="1"/>
  <c r="AE83" i="1" s="1"/>
  <c r="AE81" i="1" s="1"/>
  <c r="AE79" i="1" s="1"/>
  <c r="AE77" i="1" s="1"/>
  <c r="AE75" i="1" s="1"/>
  <c r="AE73" i="1" s="1"/>
  <c r="AE71" i="1" s="1"/>
  <c r="AE69" i="1" s="1"/>
  <c r="AE67" i="1" s="1"/>
  <c r="AE65" i="1" s="1"/>
  <c r="AE63" i="1" s="1"/>
  <c r="AE61" i="1" s="1"/>
  <c r="AE59" i="1" s="1"/>
  <c r="AE57" i="1" s="1"/>
  <c r="AE55" i="1" s="1"/>
  <c r="AE53" i="1" s="1"/>
  <c r="AE51" i="1" s="1"/>
  <c r="AE126" i="1"/>
  <c r="AE124" i="1" s="1"/>
  <c r="AE122" i="1" s="1"/>
  <c r="AE120" i="1" s="1"/>
  <c r="AE118" i="1" s="1"/>
  <c r="AE116" i="1" s="1"/>
  <c r="AE114" i="1" l="1"/>
  <c r="AE112" i="1" s="1"/>
  <c r="AE49" i="1"/>
  <c r="AE47" i="1" s="1"/>
  <c r="AE45" i="1" s="1"/>
  <c r="AE43" i="1" s="1"/>
  <c r="AE41" i="1" s="1"/>
  <c r="AE39" i="1" s="1"/>
  <c r="AE37" i="1" s="1"/>
  <c r="AE35" i="1" s="1"/>
  <c r="AE33" i="1" s="1"/>
  <c r="AE31" i="1" s="1"/>
  <c r="AE29" i="1" s="1"/>
  <c r="AE27" i="1" l="1"/>
  <c r="AE25" i="1" s="1"/>
  <c r="AE110" i="1"/>
  <c r="AE108" i="1" s="1"/>
  <c r="AE106" i="1" s="1"/>
  <c r="AE104" i="1" s="1"/>
  <c r="AE102" i="1" l="1"/>
  <c r="AE100" i="1" s="1"/>
  <c r="AE98" i="1" s="1"/>
  <c r="AE96" i="1" s="1"/>
  <c r="AE94" i="1" s="1"/>
  <c r="AE92" i="1" s="1"/>
  <c r="AE90" i="1" s="1"/>
  <c r="AE88" i="1" s="1"/>
  <c r="AE86" i="1" s="1"/>
  <c r="AE84" i="1" s="1"/>
  <c r="AE82" i="1" s="1"/>
  <c r="AE23" i="1"/>
  <c r="AE21" i="1" s="1"/>
  <c r="AE19" i="1" s="1"/>
  <c r="AE17" i="1" s="1"/>
  <c r="AE15" i="1" s="1"/>
  <c r="AE13" i="1" l="1"/>
  <c r="AE11" i="1" s="1"/>
  <c r="AE9" i="1" s="1"/>
  <c r="AE7" i="1" s="1"/>
  <c r="AE5" i="1" s="1"/>
  <c r="AE3" i="1" s="1"/>
  <c r="AE80" i="1"/>
  <c r="AE78" i="1" s="1"/>
  <c r="AE76" i="1" s="1"/>
  <c r="AE74" i="1" s="1"/>
  <c r="AE72" i="1" l="1"/>
  <c r="AE70" i="1" s="1"/>
  <c r="AE68" i="1" s="1"/>
  <c r="AE66" i="1" s="1"/>
  <c r="AE64" i="1" s="1"/>
  <c r="AE62" i="1" l="1"/>
  <c r="AE60" i="1" s="1"/>
  <c r="AE58" i="1" s="1"/>
  <c r="AE56" i="1" s="1"/>
  <c r="AE54" i="1" s="1"/>
  <c r="AE52" i="1" s="1"/>
  <c r="AE50" i="1" s="1"/>
  <c r="AE48" i="1" s="1"/>
  <c r="AE46" i="1" s="1"/>
  <c r="AE44" i="1" s="1"/>
  <c r="AE42" i="1" s="1"/>
  <c r="AE40" i="1" s="1"/>
  <c r="AE38" i="1" s="1"/>
  <c r="AE36" i="1" s="1"/>
  <c r="AE34" i="1" s="1"/>
  <c r="AE32" i="1" s="1"/>
  <c r="AE30" i="1" s="1"/>
  <c r="AE28" i="1" s="1"/>
  <c r="AE26" i="1" s="1"/>
  <c r="AE24" i="1" s="1"/>
  <c r="AE22" i="1" s="1"/>
  <c r="AE20" i="1" s="1"/>
  <c r="AE18" i="1" s="1"/>
  <c r="AE16" i="1" s="1"/>
  <c r="AE14" i="1" s="1"/>
  <c r="AE12" i="1" s="1"/>
  <c r="AE10" i="1" s="1"/>
  <c r="AE8" i="1" s="1"/>
  <c r="AE6" i="1" s="1"/>
  <c r="AE4" i="1" l="1"/>
  <c r="AG188" i="1"/>
  <c r="AH188" i="1" s="1"/>
  <c r="AG252" i="1"/>
  <c r="AH252" i="1" s="1"/>
  <c r="AG236" i="1"/>
  <c r="AH236" i="1" s="1"/>
  <c r="AG264" i="1"/>
  <c r="AH264" i="1" s="1"/>
  <c r="AG276" i="1"/>
  <c r="AH276" i="1" s="1"/>
  <c r="AG32" i="1"/>
  <c r="AH32" i="1" s="1"/>
  <c r="AG48" i="1"/>
  <c r="AH48" i="1" s="1"/>
  <c r="AG100" i="1"/>
  <c r="AH100" i="1" s="1"/>
  <c r="AG227" i="1"/>
  <c r="AH227" i="1" s="1"/>
  <c r="AG195" i="1"/>
  <c r="AH195" i="1" s="1"/>
  <c r="AG179" i="1"/>
  <c r="AH179" i="1" s="1"/>
  <c r="AG51" i="1"/>
  <c r="AH51" i="1" s="1"/>
  <c r="AG35" i="1"/>
  <c r="AH35" i="1" s="1"/>
  <c r="AG286" i="1"/>
  <c r="AH286" i="1" s="1"/>
  <c r="AG158" i="1"/>
  <c r="AH158" i="1" s="1"/>
  <c r="AG142" i="1"/>
  <c r="AH142" i="1" s="1"/>
  <c r="AG110" i="1"/>
  <c r="AH110" i="1" s="1"/>
  <c r="AG94" i="1"/>
  <c r="AH94" i="1" s="1"/>
  <c r="AG14" i="1"/>
  <c r="AH14" i="1" s="1"/>
  <c r="AG281" i="1"/>
  <c r="AH281" i="1" s="1"/>
  <c r="AG217" i="1"/>
  <c r="AH217" i="1" s="1"/>
  <c r="AG185" i="1"/>
  <c r="AH185" i="1" s="1"/>
  <c r="AG169" i="1"/>
  <c r="AH169" i="1" s="1"/>
  <c r="AG137" i="1"/>
  <c r="AH137" i="1" s="1"/>
  <c r="AG105" i="1"/>
  <c r="AH105" i="1" s="1"/>
  <c r="AG89" i="1"/>
  <c r="AH89" i="1" s="1"/>
  <c r="AG172" i="1"/>
  <c r="AH172" i="1" s="1"/>
  <c r="AG132" i="1"/>
  <c r="AH132" i="1" s="1"/>
  <c r="AG248" i="1"/>
  <c r="AH248" i="1" s="1"/>
  <c r="AG184" i="1"/>
  <c r="AH184" i="1" s="1"/>
  <c r="AG9" i="1"/>
  <c r="AH9" i="1" s="1"/>
  <c r="AG260" i="1"/>
  <c r="AH260" i="1" s="1"/>
  <c r="AG44" i="1"/>
  <c r="AH44" i="1" s="1"/>
  <c r="AG92" i="1"/>
  <c r="AH92" i="1" s="1"/>
  <c r="AG124" i="1"/>
  <c r="AH124" i="1" s="1"/>
  <c r="AG191" i="1"/>
  <c r="AH191" i="1" s="1"/>
  <c r="AG175" i="1"/>
  <c r="AH175" i="1" s="1"/>
  <c r="AG143" i="1"/>
  <c r="AH143" i="1" s="1"/>
  <c r="AG95" i="1"/>
  <c r="AH95" i="1" s="1"/>
  <c r="AG79" i="1"/>
  <c r="AH79" i="1" s="1"/>
  <c r="AG63" i="1"/>
  <c r="AH63" i="1" s="1"/>
  <c r="AG31" i="1"/>
  <c r="AH31" i="1" s="1"/>
  <c r="AG15" i="1"/>
  <c r="AH15" i="1" s="1"/>
  <c r="AG298" i="1"/>
  <c r="AH298" i="1" s="1"/>
  <c r="AG218" i="1"/>
  <c r="AH218" i="1" s="1"/>
  <c r="AG170" i="1"/>
  <c r="AH170" i="1" s="1"/>
  <c r="AG138" i="1"/>
  <c r="AH138" i="1" s="1"/>
  <c r="AG58" i="1"/>
  <c r="AH58" i="1" s="1"/>
  <c r="AG261" i="1"/>
  <c r="AH261" i="1" s="1"/>
  <c r="AG229" i="1"/>
  <c r="AH229" i="1" s="1"/>
  <c r="AG213" i="1"/>
  <c r="AH213" i="1" s="1"/>
  <c r="AG149" i="1"/>
  <c r="AH149" i="1" s="1"/>
  <c r="AG133" i="1"/>
  <c r="AH133" i="1" s="1"/>
  <c r="AG117" i="1"/>
  <c r="AH117" i="1" s="1"/>
  <c r="AG85" i="1"/>
  <c r="AH85" i="1" s="1"/>
  <c r="AG69" i="1"/>
  <c r="AH69" i="1" s="1"/>
  <c r="AG53" i="1"/>
  <c r="AH53" i="1" s="1"/>
  <c r="AG21" i="1"/>
  <c r="AH21" i="1" s="1"/>
  <c r="AG296" i="1"/>
  <c r="AH296" i="1" s="1"/>
  <c r="AG164" i="1"/>
  <c r="AH164" i="1" s="1"/>
  <c r="AG16" i="1"/>
  <c r="AH16" i="1" s="1"/>
  <c r="AG295" i="1"/>
  <c r="AH295" i="1" s="1"/>
  <c r="AG263" i="1"/>
  <c r="AH263" i="1" s="1"/>
  <c r="AG135" i="1"/>
  <c r="AH135" i="1" s="1"/>
  <c r="AG7" i="1"/>
  <c r="AH7" i="1" s="1"/>
  <c r="AG274" i="1"/>
  <c r="AH274" i="1" s="1"/>
  <c r="AG178" i="1"/>
  <c r="AH178" i="1" s="1"/>
  <c r="AG50" i="1"/>
  <c r="AH50" i="1" s="1"/>
  <c r="AG18" i="1"/>
  <c r="AH18" i="1" s="1"/>
  <c r="AG189" i="1"/>
  <c r="AH189" i="1" s="1"/>
  <c r="AG93" i="1"/>
  <c r="AH93" i="1" s="1"/>
  <c r="AG139" i="1"/>
  <c r="AH139" i="1" s="1"/>
  <c r="AG75" i="1"/>
  <c r="AH75" i="1" s="1"/>
  <c r="AG11" i="1"/>
  <c r="AH11" i="1" s="1"/>
  <c r="AG214" i="1"/>
  <c r="AH214" i="1" s="1"/>
  <c r="AG29" i="1"/>
  <c r="AH29" i="1" s="1"/>
  <c r="AG104" i="1"/>
  <c r="AH104" i="1" s="1"/>
  <c r="AG219" i="1"/>
  <c r="AH219" i="1" s="1"/>
  <c r="AG155" i="1"/>
  <c r="AH155" i="1" s="1"/>
  <c r="AG294" i="1"/>
  <c r="AH294" i="1" s="1"/>
  <c r="AG134" i="1"/>
  <c r="AH134" i="1" s="1"/>
  <c r="AG6" i="1"/>
  <c r="AH6" i="1" s="1"/>
  <c r="AG177" i="1"/>
  <c r="AH177" i="1" s="1"/>
  <c r="AG41" i="1"/>
  <c r="AH41" i="1" s="1"/>
  <c r="AG56" i="1"/>
  <c r="AH56" i="1" s="1"/>
  <c r="AG43" i="1"/>
  <c r="AH43" i="1" s="1"/>
  <c r="AG129" i="1"/>
  <c r="AH129" i="1" s="1"/>
  <c r="AG49" i="1"/>
  <c r="AH49" i="1" s="1"/>
  <c r="AG300" i="1"/>
  <c r="AH300" i="1" s="1"/>
  <c r="AG299" i="1"/>
  <c r="AH299" i="1" s="1"/>
  <c r="AG176" i="1"/>
  <c r="AH176" i="1" s="1"/>
  <c r="AG279" i="1"/>
  <c r="AH279" i="1" s="1"/>
  <c r="AG55" i="1"/>
  <c r="AH55" i="1" s="1"/>
  <c r="AG301" i="1"/>
  <c r="AH301" i="1" s="1"/>
  <c r="AG269" i="1"/>
  <c r="AH269" i="1" s="1"/>
  <c r="AG205" i="1"/>
  <c r="AH205" i="1" s="1"/>
  <c r="AG57" i="1"/>
  <c r="AH57" i="1" s="1"/>
  <c r="AG246" i="1"/>
  <c r="AH246" i="1" s="1"/>
  <c r="AG150" i="1"/>
  <c r="AH150" i="1" s="1"/>
  <c r="AG257" i="1"/>
  <c r="AH257" i="1" s="1"/>
  <c r="AE2" i="1" l="1"/>
  <c r="AG5" i="1"/>
  <c r="AH5" i="1" s="1"/>
  <c r="AG200" i="1"/>
  <c r="AH200" i="1" s="1"/>
  <c r="AG84" i="1"/>
  <c r="AH84" i="1" s="1"/>
  <c r="AG72" i="1"/>
  <c r="AH72" i="1" s="1"/>
  <c r="AG64" i="1"/>
  <c r="AH64" i="1" s="1"/>
  <c r="AG288" i="1"/>
  <c r="AH288" i="1" s="1"/>
  <c r="AG224" i="1"/>
  <c r="AH224" i="1" s="1"/>
  <c r="AG160" i="1"/>
  <c r="AH160" i="1" s="1"/>
  <c r="AG259" i="1"/>
  <c r="AH259" i="1" s="1"/>
  <c r="AG243" i="1"/>
  <c r="AH243" i="1" s="1"/>
  <c r="AG211" i="1"/>
  <c r="AH211" i="1" s="1"/>
  <c r="AG163" i="1"/>
  <c r="AH163" i="1" s="1"/>
  <c r="AG115" i="1"/>
  <c r="AH115" i="1" s="1"/>
  <c r="AG99" i="1"/>
  <c r="AH99" i="1" s="1"/>
  <c r="AG67" i="1"/>
  <c r="AH67" i="1" s="1"/>
  <c r="AG4" i="1"/>
  <c r="AH4" i="1" s="1"/>
  <c r="AG270" i="1"/>
  <c r="AH270" i="1" s="1"/>
  <c r="AG254" i="1"/>
  <c r="AH254" i="1" s="1"/>
  <c r="AG190" i="1"/>
  <c r="AH190" i="1" s="1"/>
  <c r="AG126" i="1"/>
  <c r="AH126" i="1" s="1"/>
  <c r="AG78" i="1"/>
  <c r="AH78" i="1" s="1"/>
  <c r="AG249" i="1"/>
  <c r="AH249" i="1" s="1"/>
  <c r="AG201" i="1"/>
  <c r="AH201" i="1" s="1"/>
  <c r="AG204" i="1"/>
  <c r="AH204" i="1" s="1"/>
  <c r="AG96" i="1"/>
  <c r="AH96" i="1" s="1"/>
  <c r="AG80" i="1"/>
  <c r="AH80" i="1" s="1"/>
  <c r="AG76" i="1"/>
  <c r="AH76" i="1" s="1"/>
  <c r="AG208" i="1"/>
  <c r="AH208" i="1" s="1"/>
  <c r="AG144" i="1"/>
  <c r="AH144" i="1" s="1"/>
  <c r="AG287" i="1"/>
  <c r="AH287" i="1" s="1"/>
  <c r="AG271" i="1"/>
  <c r="AH271" i="1" s="1"/>
  <c r="AG207" i="1"/>
  <c r="AH207" i="1" s="1"/>
  <c r="AG159" i="1"/>
  <c r="AH159" i="1" s="1"/>
  <c r="AG111" i="1"/>
  <c r="AH111" i="1" s="1"/>
  <c r="AG250" i="1"/>
  <c r="AH250" i="1" s="1"/>
  <c r="AG234" i="1"/>
  <c r="AH234" i="1" s="1"/>
  <c r="AG106" i="1"/>
  <c r="AH106" i="1" s="1"/>
  <c r="AG42" i="1"/>
  <c r="AH42" i="1" s="1"/>
  <c r="AG26" i="1"/>
  <c r="AH26" i="1" s="1"/>
  <c r="AG10" i="1"/>
  <c r="AH10" i="1" s="1"/>
  <c r="AG293" i="1"/>
  <c r="AH293" i="1" s="1"/>
  <c r="AG245" i="1"/>
  <c r="AH245" i="1" s="1"/>
  <c r="AG197" i="1"/>
  <c r="AH197" i="1" s="1"/>
  <c r="AG181" i="1"/>
  <c r="AH181" i="1" s="1"/>
  <c r="AG165" i="1"/>
  <c r="AH165" i="1" s="1"/>
  <c r="AG101" i="1"/>
  <c r="AH101" i="1" s="1"/>
  <c r="AG220" i="1"/>
  <c r="AH220" i="1" s="1"/>
  <c r="AG156" i="1"/>
  <c r="AH156" i="1" s="1"/>
  <c r="AG196" i="1"/>
  <c r="AH196" i="1" s="1"/>
  <c r="AG168" i="1"/>
  <c r="AH168" i="1" s="1"/>
  <c r="AG244" i="1"/>
  <c r="AH244" i="1" s="1"/>
  <c r="AG20" i="1"/>
  <c r="AH20" i="1" s="1"/>
  <c r="AG40" i="1"/>
  <c r="AH40" i="1" s="1"/>
  <c r="AG199" i="1"/>
  <c r="AH199" i="1" s="1"/>
  <c r="AG167" i="1"/>
  <c r="AH167" i="1" s="1"/>
  <c r="AG39" i="1"/>
  <c r="AH39" i="1" s="1"/>
  <c r="AG210" i="1"/>
  <c r="AH210" i="1" s="1"/>
  <c r="AG114" i="1"/>
  <c r="AH114" i="1" s="1"/>
  <c r="AG82" i="1"/>
  <c r="AH82" i="1" s="1"/>
  <c r="AG221" i="1"/>
  <c r="AH221" i="1" s="1"/>
  <c r="AG157" i="1"/>
  <c r="AH157" i="1" s="1"/>
  <c r="AG65" i="1"/>
  <c r="AH65" i="1" s="1"/>
  <c r="AG45" i="1"/>
  <c r="AH45" i="1" s="1"/>
  <c r="AG8" i="1"/>
  <c r="AH8" i="1" s="1"/>
  <c r="AG128" i="1"/>
  <c r="AH128" i="1" s="1"/>
  <c r="AG140" i="1"/>
  <c r="AH140" i="1" s="1"/>
  <c r="AG152" i="1"/>
  <c r="AH152" i="1" s="1"/>
  <c r="AG24" i="1"/>
  <c r="AH24" i="1" s="1"/>
  <c r="AG88" i="1"/>
  <c r="AH88" i="1" s="1"/>
  <c r="AG123" i="1"/>
  <c r="AH123" i="1" s="1"/>
  <c r="AG91" i="1"/>
  <c r="AH91" i="1" s="1"/>
  <c r="AG262" i="1"/>
  <c r="AH262" i="1" s="1"/>
  <c r="AG230" i="1"/>
  <c r="AH230" i="1" s="1"/>
  <c r="AG198" i="1"/>
  <c r="AH198" i="1" s="1"/>
  <c r="AG102" i="1"/>
  <c r="AH102" i="1" s="1"/>
  <c r="AG209" i="1"/>
  <c r="AH209" i="1" s="1"/>
  <c r="AG113" i="1"/>
  <c r="AH113" i="1" s="1"/>
  <c r="AG17" i="1"/>
  <c r="AH17" i="1" s="1"/>
  <c r="AG228" i="1"/>
  <c r="AH228" i="1" s="1"/>
  <c r="AG12" i="1"/>
  <c r="AH12" i="1" s="1"/>
  <c r="AG267" i="1"/>
  <c r="AH267" i="1" s="1"/>
  <c r="AG235" i="1"/>
  <c r="AH235" i="1" s="1"/>
  <c r="AG278" i="1"/>
  <c r="AH278" i="1" s="1"/>
  <c r="AG225" i="1"/>
  <c r="AH225" i="1" s="1"/>
  <c r="AG292" i="1"/>
  <c r="AH292" i="1" s="1"/>
  <c r="AG60" i="1"/>
  <c r="AH60" i="1" s="1"/>
  <c r="AG183" i="1"/>
  <c r="AH183" i="1" s="1"/>
  <c r="AG119" i="1"/>
  <c r="AH119" i="1" s="1"/>
  <c r="AG226" i="1"/>
  <c r="AH226" i="1" s="1"/>
  <c r="AG162" i="1"/>
  <c r="AH162" i="1" s="1"/>
  <c r="AG237" i="1"/>
  <c r="AH237" i="1" s="1"/>
  <c r="AG173" i="1"/>
  <c r="AH173" i="1" s="1"/>
  <c r="AG141" i="1"/>
  <c r="AH141" i="1" s="1"/>
  <c r="AG77" i="1"/>
  <c r="AH77" i="1" s="1"/>
  <c r="AG33" i="1"/>
  <c r="AH33" i="1" s="1"/>
  <c r="AG73" i="1"/>
  <c r="AH73" i="1" s="1"/>
  <c r="AG148" i="1" l="1"/>
  <c r="AH148" i="1" s="1"/>
  <c r="AG136" i="1"/>
  <c r="AH136" i="1" s="1"/>
  <c r="AG212" i="1"/>
  <c r="AH212" i="1" s="1"/>
  <c r="AG108" i="1"/>
  <c r="AH108" i="1" s="1"/>
  <c r="AG3" i="1"/>
  <c r="AH3" i="1" s="1"/>
  <c r="AG291" i="1"/>
  <c r="AH291" i="1" s="1"/>
  <c r="AG275" i="1"/>
  <c r="AH275" i="1" s="1"/>
  <c r="AG147" i="1"/>
  <c r="AH147" i="1" s="1"/>
  <c r="AG131" i="1"/>
  <c r="AH131" i="1" s="1"/>
  <c r="AG83" i="1"/>
  <c r="AH83" i="1" s="1"/>
  <c r="AG19" i="1"/>
  <c r="AH19" i="1" s="1"/>
  <c r="AG238" i="1"/>
  <c r="AH238" i="1" s="1"/>
  <c r="AG222" i="1"/>
  <c r="AH222" i="1" s="1"/>
  <c r="AG206" i="1"/>
  <c r="AH206" i="1" s="1"/>
  <c r="AG174" i="1"/>
  <c r="AH174" i="1" s="1"/>
  <c r="AG62" i="1"/>
  <c r="AH62" i="1" s="1"/>
  <c r="AG46" i="1"/>
  <c r="AH46" i="1" s="1"/>
  <c r="AG30" i="1"/>
  <c r="AH30" i="1" s="1"/>
  <c r="AG297" i="1"/>
  <c r="AH297" i="1" s="1"/>
  <c r="AG265" i="1"/>
  <c r="AH265" i="1" s="1"/>
  <c r="AG233" i="1"/>
  <c r="AH233" i="1" s="1"/>
  <c r="AG153" i="1"/>
  <c r="AH153" i="1" s="1"/>
  <c r="AG121" i="1"/>
  <c r="AH121" i="1" s="1"/>
  <c r="AG268" i="1"/>
  <c r="AH268" i="1" s="1"/>
  <c r="AG180" i="1"/>
  <c r="AH180" i="1" s="1"/>
  <c r="AG120" i="1"/>
  <c r="AH120" i="1" s="1"/>
  <c r="AG28" i="1"/>
  <c r="AH28" i="1" s="1"/>
  <c r="AG272" i="1"/>
  <c r="AH272" i="1" s="1"/>
  <c r="AG255" i="1"/>
  <c r="AH255" i="1" s="1"/>
  <c r="AG239" i="1"/>
  <c r="AH239" i="1" s="1"/>
  <c r="AG223" i="1"/>
  <c r="AH223" i="1" s="1"/>
  <c r="AG127" i="1"/>
  <c r="AH127" i="1" s="1"/>
  <c r="AG47" i="1"/>
  <c r="AH47" i="1" s="1"/>
  <c r="AG282" i="1"/>
  <c r="AH282" i="1" s="1"/>
  <c r="AG266" i="1"/>
  <c r="AH266" i="1" s="1"/>
  <c r="AG202" i="1"/>
  <c r="AH202" i="1" s="1"/>
  <c r="AG186" i="1"/>
  <c r="AH186" i="1" s="1"/>
  <c r="AG154" i="1"/>
  <c r="AH154" i="1" s="1"/>
  <c r="AG122" i="1"/>
  <c r="AH122" i="1" s="1"/>
  <c r="AG90" i="1"/>
  <c r="AH90" i="1" s="1"/>
  <c r="AG74" i="1"/>
  <c r="AH74" i="1" s="1"/>
  <c r="AG277" i="1"/>
  <c r="AH277" i="1" s="1"/>
  <c r="AG37" i="1"/>
  <c r="AH37" i="1" s="1"/>
  <c r="AG232" i="1"/>
  <c r="AH232" i="1" s="1"/>
  <c r="AG13" i="1"/>
  <c r="AH13" i="1" s="1"/>
  <c r="AG36" i="1"/>
  <c r="AH36" i="1" s="1"/>
  <c r="AG52" i="1"/>
  <c r="AH52" i="1" s="1"/>
  <c r="AG284" i="1"/>
  <c r="AH284" i="1" s="1"/>
  <c r="AG216" i="1"/>
  <c r="AH216" i="1" s="1"/>
  <c r="AG68" i="1"/>
  <c r="AH68" i="1" s="1"/>
  <c r="AG240" i="1"/>
  <c r="AH240" i="1" s="1"/>
  <c r="AG231" i="1"/>
  <c r="AH231" i="1" s="1"/>
  <c r="AG103" i="1"/>
  <c r="AH103" i="1" s="1"/>
  <c r="AG71" i="1"/>
  <c r="AH71" i="1" s="1"/>
  <c r="AG242" i="1"/>
  <c r="AH242" i="1" s="1"/>
  <c r="AG146" i="1"/>
  <c r="AH146" i="1" s="1"/>
  <c r="AG285" i="1"/>
  <c r="AH285" i="1" s="1"/>
  <c r="AG253" i="1"/>
  <c r="AH253" i="1" s="1"/>
  <c r="AG125" i="1"/>
  <c r="AH125" i="1" s="1"/>
  <c r="AG25" i="1"/>
  <c r="AH25" i="1" s="1"/>
  <c r="AG203" i="1"/>
  <c r="AH203" i="1" s="1"/>
  <c r="AG86" i="1"/>
  <c r="AH86" i="1" s="1"/>
  <c r="AG289" i="1"/>
  <c r="AH289" i="1" s="1"/>
  <c r="AG193" i="1"/>
  <c r="AH193" i="1" s="1"/>
  <c r="AG97" i="1"/>
  <c r="AH97" i="1" s="1"/>
  <c r="AG116" i="1"/>
  <c r="AH116" i="1" s="1"/>
  <c r="AG192" i="1"/>
  <c r="AH192" i="1" s="1"/>
  <c r="AG283" i="1"/>
  <c r="AH283" i="1" s="1"/>
  <c r="AG251" i="1"/>
  <c r="AH251" i="1" s="1"/>
  <c r="AG187" i="1"/>
  <c r="AH187" i="1" s="1"/>
  <c r="AG59" i="1"/>
  <c r="AH59" i="1" s="1"/>
  <c r="AG27" i="1"/>
  <c r="AH27" i="1" s="1"/>
  <c r="AG166" i="1"/>
  <c r="AH166" i="1" s="1"/>
  <c r="AG70" i="1"/>
  <c r="AH70" i="1" s="1"/>
  <c r="AG38" i="1"/>
  <c r="AH38" i="1" s="1"/>
  <c r="AG273" i="1"/>
  <c r="AH273" i="1" s="1"/>
  <c r="AG241" i="1"/>
  <c r="AH241" i="1" s="1"/>
  <c r="AG145" i="1"/>
  <c r="AH145" i="1" s="1"/>
  <c r="AG81" i="1"/>
  <c r="AH81" i="1" s="1"/>
  <c r="AG61" i="1"/>
  <c r="AH61" i="1" s="1"/>
  <c r="AG280" i="1"/>
  <c r="AH280" i="1" s="1"/>
  <c r="AG256" i="1"/>
  <c r="AH256" i="1" s="1"/>
  <c r="AG171" i="1"/>
  <c r="AH171" i="1" s="1"/>
  <c r="AG107" i="1"/>
  <c r="AH107" i="1" s="1"/>
  <c r="AG182" i="1"/>
  <c r="AH182" i="1" s="1"/>
  <c r="AG118" i="1"/>
  <c r="AH118" i="1" s="1"/>
  <c r="AG22" i="1"/>
  <c r="AH22" i="1" s="1"/>
  <c r="AG112" i="1"/>
  <c r="AH112" i="1" s="1"/>
  <c r="AG2" i="1"/>
  <c r="AH2" i="1" s="1"/>
  <c r="AG247" i="1"/>
  <c r="AH247" i="1" s="1"/>
  <c r="AG215" i="1"/>
  <c r="AH215" i="1" s="1"/>
  <c r="AG151" i="1"/>
  <c r="AH151" i="1" s="1"/>
  <c r="AG87" i="1"/>
  <c r="AH87" i="1" s="1"/>
  <c r="AG23" i="1"/>
  <c r="AH23" i="1" s="1"/>
  <c r="AG290" i="1"/>
  <c r="AH290" i="1" s="1"/>
  <c r="AG258" i="1"/>
  <c r="AH258" i="1" s="1"/>
  <c r="AG194" i="1"/>
  <c r="AH194" i="1" s="1"/>
  <c r="AG130" i="1"/>
  <c r="AH130" i="1" s="1"/>
  <c r="AG98" i="1"/>
  <c r="AH98" i="1" s="1"/>
  <c r="AG66" i="1"/>
  <c r="AH66" i="1" s="1"/>
  <c r="AG34" i="1"/>
  <c r="AH34" i="1" s="1"/>
  <c r="AG109" i="1"/>
  <c r="AH109" i="1" s="1"/>
  <c r="AG54" i="1"/>
  <c r="AH54" i="1" s="1"/>
  <c r="AG161" i="1"/>
  <c r="AH161" i="1" s="1"/>
</calcChain>
</file>

<file path=xl/sharedStrings.xml><?xml version="1.0" encoding="utf-8"?>
<sst xmlns="http://schemas.openxmlformats.org/spreadsheetml/2006/main" count="3667" uniqueCount="691">
  <si>
    <t>Full Name</t>
  </si>
  <si>
    <t>Institutional Roll Number</t>
  </si>
  <si>
    <t>Department</t>
  </si>
  <si>
    <t>Depth of Expertise</t>
  </si>
  <si>
    <t>Subject Currency</t>
  </si>
  <si>
    <t>Conceptual Clarity</t>
  </si>
  <si>
    <t>Critical Inquiry</t>
  </si>
  <si>
    <t>Syllabus Coverage</t>
  </si>
  <si>
    <t>Interdisciplinary Links</t>
  </si>
  <si>
    <t>Research-Teaching Link</t>
  </si>
  <si>
    <t>Publication Insights</t>
  </si>
  <si>
    <t>Thesis/Project Guidance</t>
  </si>
  <si>
    <t>Scientific Temper</t>
  </si>
  <si>
    <t>Resource Recommendation</t>
  </si>
  <si>
    <t>PG Lab/Library Access</t>
  </si>
  <si>
    <t>ICT Integration</t>
  </si>
  <si>
    <t>Seminar Frequency</t>
  </si>
  <si>
    <t>Internal Assessment</t>
  </si>
  <si>
    <t>Faculty Accessibility</t>
  </si>
  <si>
    <t>Primary Strength</t>
  </si>
  <si>
    <t>Innovation Gap</t>
  </si>
  <si>
    <t>Actionable Suggestion</t>
  </si>
  <si>
    <t>Bias Check</t>
  </si>
  <si>
    <t>Form Completion Time</t>
  </si>
  <si>
    <t>Awareness</t>
  </si>
  <si>
    <t>Impact Belief</t>
  </si>
  <si>
    <t>Digital Signature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</si>
  <si>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</si>
  <si>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</si>
  <si>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</si>
  <si>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</si>
  <si>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</si>
  <si>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</si>
  <si>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</si>
  <si>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</si>
  <si>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</si>
  <si>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</si>
  <si>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</si>
  <si>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</si>
  <si>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</si>
  <si>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</si>
  <si>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</si>
  <si>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</si>
  <si>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</si>
  <si>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</si>
  <si>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</si>
  <si>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</si>
  <si>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Name21</t>
  </si>
  <si>
    <t>Name22</t>
  </si>
  <si>
    <t>Name23</t>
  </si>
  <si>
    <t>Name24</t>
  </si>
  <si>
    <t>Name25</t>
  </si>
  <si>
    <t>Name26</t>
  </si>
  <si>
    <t>Name27</t>
  </si>
  <si>
    <t>Name28</t>
  </si>
  <si>
    <t>Name29</t>
  </si>
  <si>
    <t>Name30</t>
  </si>
  <si>
    <t>Name31</t>
  </si>
  <si>
    <t>Name32</t>
  </si>
  <si>
    <t>Name33</t>
  </si>
  <si>
    <t>Name34</t>
  </si>
  <si>
    <t>Name35</t>
  </si>
  <si>
    <t>Name36</t>
  </si>
  <si>
    <t>Name37</t>
  </si>
  <si>
    <t>Name38</t>
  </si>
  <si>
    <t>Name39</t>
  </si>
  <si>
    <t>Name40</t>
  </si>
  <si>
    <t>Name41</t>
  </si>
  <si>
    <t>Name42</t>
  </si>
  <si>
    <t>Name43</t>
  </si>
  <si>
    <t>Name44</t>
  </si>
  <si>
    <t>Name45</t>
  </si>
  <si>
    <t>Name46</t>
  </si>
  <si>
    <t>Name47</t>
  </si>
  <si>
    <t>Name48</t>
  </si>
  <si>
    <t>Name49</t>
  </si>
  <si>
    <t>Name50</t>
  </si>
  <si>
    <t>Name51</t>
  </si>
  <si>
    <t>Name52</t>
  </si>
  <si>
    <t>Name53</t>
  </si>
  <si>
    <t>Name54</t>
  </si>
  <si>
    <t>Name55</t>
  </si>
  <si>
    <t>Name56</t>
  </si>
  <si>
    <t>Name57</t>
  </si>
  <si>
    <t>Name58</t>
  </si>
  <si>
    <t>Name59</t>
  </si>
  <si>
    <t>Name60</t>
  </si>
  <si>
    <t>Name61</t>
  </si>
  <si>
    <t>Name62</t>
  </si>
  <si>
    <t>Name63</t>
  </si>
  <si>
    <t>Name64</t>
  </si>
  <si>
    <t>Name65</t>
  </si>
  <si>
    <t>Name66</t>
  </si>
  <si>
    <t>Name67</t>
  </si>
  <si>
    <t>Name68</t>
  </si>
  <si>
    <t>Name69</t>
  </si>
  <si>
    <t>Name70</t>
  </si>
  <si>
    <t>Name71</t>
  </si>
  <si>
    <t>Name72</t>
  </si>
  <si>
    <t>Name73</t>
  </si>
  <si>
    <t>Name74</t>
  </si>
  <si>
    <t>Name75</t>
  </si>
  <si>
    <t>Name76</t>
  </si>
  <si>
    <t>Name77</t>
  </si>
  <si>
    <t>Name78</t>
  </si>
  <si>
    <t>Name79</t>
  </si>
  <si>
    <t>Name80</t>
  </si>
  <si>
    <t>Name81</t>
  </si>
  <si>
    <t>Name82</t>
  </si>
  <si>
    <t>Name83</t>
  </si>
  <si>
    <t>Name84</t>
  </si>
  <si>
    <t>Name85</t>
  </si>
  <si>
    <t>Name86</t>
  </si>
  <si>
    <t>Name87</t>
  </si>
  <si>
    <t>Name88</t>
  </si>
  <si>
    <t>Name89</t>
  </si>
  <si>
    <t>Name90</t>
  </si>
  <si>
    <t>Name91</t>
  </si>
  <si>
    <t>Name92</t>
  </si>
  <si>
    <t>Name93</t>
  </si>
  <si>
    <t>Name94</t>
  </si>
  <si>
    <t>Name95</t>
  </si>
  <si>
    <t>Name96</t>
  </si>
  <si>
    <t>Name97</t>
  </si>
  <si>
    <t>Name98</t>
  </si>
  <si>
    <t>Name99</t>
  </si>
  <si>
    <t>Name100</t>
  </si>
  <si>
    <t>Name101</t>
  </si>
  <si>
    <t>Name102</t>
  </si>
  <si>
    <t>Name103</t>
  </si>
  <si>
    <t>Name104</t>
  </si>
  <si>
    <t>Name105</t>
  </si>
  <si>
    <t>Name106</t>
  </si>
  <si>
    <t>Name107</t>
  </si>
  <si>
    <t>Name108</t>
  </si>
  <si>
    <t>Name109</t>
  </si>
  <si>
    <t>Name110</t>
  </si>
  <si>
    <t>Name111</t>
  </si>
  <si>
    <t>Name112</t>
  </si>
  <si>
    <t>Name113</t>
  </si>
  <si>
    <t>Name114</t>
  </si>
  <si>
    <t>Name115</t>
  </si>
  <si>
    <t>Name116</t>
  </si>
  <si>
    <t>Name117</t>
  </si>
  <si>
    <t>Name118</t>
  </si>
  <si>
    <t>Name119</t>
  </si>
  <si>
    <t>Name120</t>
  </si>
  <si>
    <t>Name121</t>
  </si>
  <si>
    <t>Name122</t>
  </si>
  <si>
    <t>Name123</t>
  </si>
  <si>
    <t>Name124</t>
  </si>
  <si>
    <t>Name125</t>
  </si>
  <si>
    <t>Name126</t>
  </si>
  <si>
    <t>Name127</t>
  </si>
  <si>
    <t>Name128</t>
  </si>
  <si>
    <t>Name129</t>
  </si>
  <si>
    <t>Name130</t>
  </si>
  <si>
    <t>Name131</t>
  </si>
  <si>
    <t>Name132</t>
  </si>
  <si>
    <t>Name133</t>
  </si>
  <si>
    <t>Name134</t>
  </si>
  <si>
    <t>Name135</t>
  </si>
  <si>
    <t>Name136</t>
  </si>
  <si>
    <t>Name137</t>
  </si>
  <si>
    <t>Name138</t>
  </si>
  <si>
    <t>Name139</t>
  </si>
  <si>
    <t>Name140</t>
  </si>
  <si>
    <t>Name141</t>
  </si>
  <si>
    <t>Name142</t>
  </si>
  <si>
    <t>Name143</t>
  </si>
  <si>
    <t>Name144</t>
  </si>
  <si>
    <t>Name145</t>
  </si>
  <si>
    <t>Name146</t>
  </si>
  <si>
    <t>Name147</t>
  </si>
  <si>
    <t>Name148</t>
  </si>
  <si>
    <t>Name149</t>
  </si>
  <si>
    <t>Name150</t>
  </si>
  <si>
    <t>Name151</t>
  </si>
  <si>
    <t>Name152</t>
  </si>
  <si>
    <t>Name153</t>
  </si>
  <si>
    <t>Name154</t>
  </si>
  <si>
    <t>Name155</t>
  </si>
  <si>
    <t>Name156</t>
  </si>
  <si>
    <t>Name157</t>
  </si>
  <si>
    <t>Name158</t>
  </si>
  <si>
    <t>Name159</t>
  </si>
  <si>
    <t>Name160</t>
  </si>
  <si>
    <t>Name161</t>
  </si>
  <si>
    <t>Name162</t>
  </si>
  <si>
    <t>Name163</t>
  </si>
  <si>
    <t>Name164</t>
  </si>
  <si>
    <t>Name165</t>
  </si>
  <si>
    <t>Name166</t>
  </si>
  <si>
    <t>Name167</t>
  </si>
  <si>
    <t>Name168</t>
  </si>
  <si>
    <t>Name169</t>
  </si>
  <si>
    <t>Name170</t>
  </si>
  <si>
    <t>Name171</t>
  </si>
  <si>
    <t>Name172</t>
  </si>
  <si>
    <t>Name173</t>
  </si>
  <si>
    <t>Name174</t>
  </si>
  <si>
    <t>Name175</t>
  </si>
  <si>
    <t>Name176</t>
  </si>
  <si>
    <t>Name177</t>
  </si>
  <si>
    <t>Name178</t>
  </si>
  <si>
    <t>Name179</t>
  </si>
  <si>
    <t>Name180</t>
  </si>
  <si>
    <t>Name181</t>
  </si>
  <si>
    <t>Name182</t>
  </si>
  <si>
    <t>Name183</t>
  </si>
  <si>
    <t>Name184</t>
  </si>
  <si>
    <t>Name185</t>
  </si>
  <si>
    <t>Name186</t>
  </si>
  <si>
    <t>Name187</t>
  </si>
  <si>
    <t>Name188</t>
  </si>
  <si>
    <t>Name189</t>
  </si>
  <si>
    <t>Name190</t>
  </si>
  <si>
    <t>Name191</t>
  </si>
  <si>
    <t>Name192</t>
  </si>
  <si>
    <t>Name193</t>
  </si>
  <si>
    <t>Name194</t>
  </si>
  <si>
    <t>Name195</t>
  </si>
  <si>
    <t>Name196</t>
  </si>
  <si>
    <t>Name197</t>
  </si>
  <si>
    <t>Name198</t>
  </si>
  <si>
    <t>Name199</t>
  </si>
  <si>
    <t>Name200</t>
  </si>
  <si>
    <t>Name201</t>
  </si>
  <si>
    <t>Name202</t>
  </si>
  <si>
    <t>Name203</t>
  </si>
  <si>
    <t>Name204</t>
  </si>
  <si>
    <t>Name205</t>
  </si>
  <si>
    <t>Name206</t>
  </si>
  <si>
    <t>Name207</t>
  </si>
  <si>
    <t>Name208</t>
  </si>
  <si>
    <t>Name209</t>
  </si>
  <si>
    <t>Name210</t>
  </si>
  <si>
    <t>Name211</t>
  </si>
  <si>
    <t>Name212</t>
  </si>
  <si>
    <t>Name213</t>
  </si>
  <si>
    <t>Name214</t>
  </si>
  <si>
    <t>Name215</t>
  </si>
  <si>
    <t>Name216</t>
  </si>
  <si>
    <t>Name217</t>
  </si>
  <si>
    <t>Name218</t>
  </si>
  <si>
    <t>Name219</t>
  </si>
  <si>
    <t>Name220</t>
  </si>
  <si>
    <t>Name221</t>
  </si>
  <si>
    <t>Name222</t>
  </si>
  <si>
    <t>Name223</t>
  </si>
  <si>
    <t>Name224</t>
  </si>
  <si>
    <t>Name225</t>
  </si>
  <si>
    <t>Name226</t>
  </si>
  <si>
    <t>Name227</t>
  </si>
  <si>
    <t>Name228</t>
  </si>
  <si>
    <t>Name229</t>
  </si>
  <si>
    <t>Name230</t>
  </si>
  <si>
    <t>Name231</t>
  </si>
  <si>
    <t>Name232</t>
  </si>
  <si>
    <t>Name233</t>
  </si>
  <si>
    <t>Name234</t>
  </si>
  <si>
    <t>Name235</t>
  </si>
  <si>
    <t>Name236</t>
  </si>
  <si>
    <t>Name237</t>
  </si>
  <si>
    <t>Name238</t>
  </si>
  <si>
    <t>Name239</t>
  </si>
  <si>
    <t>Name240</t>
  </si>
  <si>
    <t>Name241</t>
  </si>
  <si>
    <t>Name242</t>
  </si>
  <si>
    <t>Name243</t>
  </si>
  <si>
    <t>Name244</t>
  </si>
  <si>
    <t>Name245</t>
  </si>
  <si>
    <t>Name246</t>
  </si>
  <si>
    <t>Name247</t>
  </si>
  <si>
    <t>Name248</t>
  </si>
  <si>
    <t>Name249</t>
  </si>
  <si>
    <t>Name250</t>
  </si>
  <si>
    <t>Name251</t>
  </si>
  <si>
    <t>Name252</t>
  </si>
  <si>
    <t>Name253</t>
  </si>
  <si>
    <t>Name254</t>
  </si>
  <si>
    <t>Name255</t>
  </si>
  <si>
    <t>Name256</t>
  </si>
  <si>
    <t>Name257</t>
  </si>
  <si>
    <t>Name258</t>
  </si>
  <si>
    <t>Name259</t>
  </si>
  <si>
    <t>Name260</t>
  </si>
  <si>
    <t>Name261</t>
  </si>
  <si>
    <t>Name262</t>
  </si>
  <si>
    <t>Name263</t>
  </si>
  <si>
    <t>Name264</t>
  </si>
  <si>
    <t>Name265</t>
  </si>
  <si>
    <t>Name266</t>
  </si>
  <si>
    <t>Name267</t>
  </si>
  <si>
    <t>Name268</t>
  </si>
  <si>
    <t>Name269</t>
  </si>
  <si>
    <t>Name270</t>
  </si>
  <si>
    <t>Name271</t>
  </si>
  <si>
    <t>Name272</t>
  </si>
  <si>
    <t>Name273</t>
  </si>
  <si>
    <t>Name274</t>
  </si>
  <si>
    <t>Name275</t>
  </si>
  <si>
    <t>Name276</t>
  </si>
  <si>
    <t>Name277</t>
  </si>
  <si>
    <t>Name278</t>
  </si>
  <si>
    <t>Name279</t>
  </si>
  <si>
    <t>Name280</t>
  </si>
  <si>
    <t>Name281</t>
  </si>
  <si>
    <t>Name282</t>
  </si>
  <si>
    <t>Name283</t>
  </si>
  <si>
    <t>Name284</t>
  </si>
  <si>
    <t>Name285</t>
  </si>
  <si>
    <t>Name286</t>
  </si>
  <si>
    <t>Name287</t>
  </si>
  <si>
    <t>Name288</t>
  </si>
  <si>
    <t>Name289</t>
  </si>
  <si>
    <t>Name290</t>
  </si>
  <si>
    <t>Name291</t>
  </si>
  <si>
    <t>Name292</t>
  </si>
  <si>
    <t>Name293</t>
  </si>
  <si>
    <t>Name294</t>
  </si>
  <si>
    <t>Name295</t>
  </si>
  <si>
    <t>Name296</t>
  </si>
  <si>
    <t>Name297</t>
  </si>
  <si>
    <t>Name298</t>
  </si>
  <si>
    <t>Name299</t>
  </si>
  <si>
    <t>Name300</t>
  </si>
  <si>
    <t>Roll001</t>
  </si>
  <si>
    <t>Roll002</t>
  </si>
  <si>
    <t>Roll003</t>
  </si>
  <si>
    <t>Roll004</t>
  </si>
  <si>
    <t>Roll005</t>
  </si>
  <si>
    <t>Roll006</t>
  </si>
  <si>
    <t>Roll007</t>
  </si>
  <si>
    <t>Roll008</t>
  </si>
  <si>
    <t>Roll009</t>
  </si>
  <si>
    <t>Roll010</t>
  </si>
  <si>
    <t>Roll011</t>
  </si>
  <si>
    <t>Roll012</t>
  </si>
  <si>
    <t>Roll013</t>
  </si>
  <si>
    <t>Roll014</t>
  </si>
  <si>
    <t>Roll015</t>
  </si>
  <si>
    <t>Roll016</t>
  </si>
  <si>
    <t>Roll017</t>
  </si>
  <si>
    <t>Roll018</t>
  </si>
  <si>
    <t>Roll019</t>
  </si>
  <si>
    <t>Roll020</t>
  </si>
  <si>
    <t>Roll021</t>
  </si>
  <si>
    <t>Roll022</t>
  </si>
  <si>
    <t>Roll023</t>
  </si>
  <si>
    <t>Roll024</t>
  </si>
  <si>
    <t>Roll025</t>
  </si>
  <si>
    <t>Roll026</t>
  </si>
  <si>
    <t>Roll027</t>
  </si>
  <si>
    <t>Roll028</t>
  </si>
  <si>
    <t>Roll029</t>
  </si>
  <si>
    <t>Roll030</t>
  </si>
  <si>
    <t>Roll031</t>
  </si>
  <si>
    <t>Roll032</t>
  </si>
  <si>
    <t>Roll033</t>
  </si>
  <si>
    <t>Roll034</t>
  </si>
  <si>
    <t>Roll035</t>
  </si>
  <si>
    <t>Roll036</t>
  </si>
  <si>
    <t>Roll037</t>
  </si>
  <si>
    <t>Roll038</t>
  </si>
  <si>
    <t>Roll039</t>
  </si>
  <si>
    <t>Roll040</t>
  </si>
  <si>
    <t>Roll041</t>
  </si>
  <si>
    <t>Roll042</t>
  </si>
  <si>
    <t>Roll043</t>
  </si>
  <si>
    <t>Roll044</t>
  </si>
  <si>
    <t>Roll045</t>
  </si>
  <si>
    <t>Roll046</t>
  </si>
  <si>
    <t>Roll047</t>
  </si>
  <si>
    <t>Roll048</t>
  </si>
  <si>
    <t>Roll049</t>
  </si>
  <si>
    <t>Roll050</t>
  </si>
  <si>
    <t>Roll051</t>
  </si>
  <si>
    <t>Roll052</t>
  </si>
  <si>
    <t>Roll053</t>
  </si>
  <si>
    <t>Roll054</t>
  </si>
  <si>
    <t>Roll055</t>
  </si>
  <si>
    <t>Roll056</t>
  </si>
  <si>
    <t>Roll057</t>
  </si>
  <si>
    <t>Roll058</t>
  </si>
  <si>
    <t>Roll059</t>
  </si>
  <si>
    <t>Roll060</t>
  </si>
  <si>
    <t>Roll061</t>
  </si>
  <si>
    <t>Roll062</t>
  </si>
  <si>
    <t>Roll063</t>
  </si>
  <si>
    <t>Roll064</t>
  </si>
  <si>
    <t>Roll065</t>
  </si>
  <si>
    <t>Roll066</t>
  </si>
  <si>
    <t>Roll067</t>
  </si>
  <si>
    <t>Roll068</t>
  </si>
  <si>
    <t>Roll069</t>
  </si>
  <si>
    <t>Roll070</t>
  </si>
  <si>
    <t>Roll071</t>
  </si>
  <si>
    <t>Roll072</t>
  </si>
  <si>
    <t>Roll073</t>
  </si>
  <si>
    <t>Roll074</t>
  </si>
  <si>
    <t>Roll075</t>
  </si>
  <si>
    <t>Roll076</t>
  </si>
  <si>
    <t>Roll077</t>
  </si>
  <si>
    <t>Roll078</t>
  </si>
  <si>
    <t>Roll079</t>
  </si>
  <si>
    <t>Roll080</t>
  </si>
  <si>
    <t>Roll081</t>
  </si>
  <si>
    <t>Roll082</t>
  </si>
  <si>
    <t>Roll083</t>
  </si>
  <si>
    <t>Roll084</t>
  </si>
  <si>
    <t>Roll085</t>
  </si>
  <si>
    <t>Roll086</t>
  </si>
  <si>
    <t>Roll087</t>
  </si>
  <si>
    <t>Roll088</t>
  </si>
  <si>
    <t>Roll089</t>
  </si>
  <si>
    <t>Roll090</t>
  </si>
  <si>
    <t>Roll091</t>
  </si>
  <si>
    <t>Roll092</t>
  </si>
  <si>
    <t>Roll093</t>
  </si>
  <si>
    <t>Roll094</t>
  </si>
  <si>
    <t>Roll095</t>
  </si>
  <si>
    <t>Roll096</t>
  </si>
  <si>
    <t>Roll097</t>
  </si>
  <si>
    <t>Roll098</t>
  </si>
  <si>
    <t>Roll099</t>
  </si>
  <si>
    <t>Roll100</t>
  </si>
  <si>
    <t>Roll101</t>
  </si>
  <si>
    <t>Roll102</t>
  </si>
  <si>
    <t>Roll103</t>
  </si>
  <si>
    <t>Roll104</t>
  </si>
  <si>
    <t>Roll105</t>
  </si>
  <si>
    <t>Roll106</t>
  </si>
  <si>
    <t>Roll107</t>
  </si>
  <si>
    <t>Roll108</t>
  </si>
  <si>
    <t>Roll109</t>
  </si>
  <si>
    <t>Roll110</t>
  </si>
  <si>
    <t>Roll111</t>
  </si>
  <si>
    <t>Roll112</t>
  </si>
  <si>
    <t>Roll113</t>
  </si>
  <si>
    <t>Roll114</t>
  </si>
  <si>
    <t>Roll115</t>
  </si>
  <si>
    <t>Roll116</t>
  </si>
  <si>
    <t>Roll117</t>
  </si>
  <si>
    <t>Roll118</t>
  </si>
  <si>
    <t>Roll119</t>
  </si>
  <si>
    <t>Roll120</t>
  </si>
  <si>
    <t>Roll121</t>
  </si>
  <si>
    <t>Roll122</t>
  </si>
  <si>
    <t>Roll123</t>
  </si>
  <si>
    <t>Roll124</t>
  </si>
  <si>
    <t>Roll125</t>
  </si>
  <si>
    <t>Roll126</t>
  </si>
  <si>
    <t>Roll127</t>
  </si>
  <si>
    <t>Roll128</t>
  </si>
  <si>
    <t>Roll129</t>
  </si>
  <si>
    <t>Roll130</t>
  </si>
  <si>
    <t>Roll131</t>
  </si>
  <si>
    <t>Roll132</t>
  </si>
  <si>
    <t>Roll133</t>
  </si>
  <si>
    <t>Roll134</t>
  </si>
  <si>
    <t>Roll135</t>
  </si>
  <si>
    <t>Roll136</t>
  </si>
  <si>
    <t>Roll137</t>
  </si>
  <si>
    <t>Roll138</t>
  </si>
  <si>
    <t>Roll139</t>
  </si>
  <si>
    <t>Roll140</t>
  </si>
  <si>
    <t>Roll141</t>
  </si>
  <si>
    <t>Roll142</t>
  </si>
  <si>
    <t>Roll143</t>
  </si>
  <si>
    <t>Roll144</t>
  </si>
  <si>
    <t>Roll145</t>
  </si>
  <si>
    <t>Roll146</t>
  </si>
  <si>
    <t>Roll147</t>
  </si>
  <si>
    <t>Roll148</t>
  </si>
  <si>
    <t>Roll149</t>
  </si>
  <si>
    <t>Roll150</t>
  </si>
  <si>
    <t>Roll151</t>
  </si>
  <si>
    <t>Roll152</t>
  </si>
  <si>
    <t>Roll153</t>
  </si>
  <si>
    <t>Roll154</t>
  </si>
  <si>
    <t>Roll155</t>
  </si>
  <si>
    <t>Roll156</t>
  </si>
  <si>
    <t>Roll157</t>
  </si>
  <si>
    <t>Roll158</t>
  </si>
  <si>
    <t>Roll159</t>
  </si>
  <si>
    <t>Roll160</t>
  </si>
  <si>
    <t>Roll161</t>
  </si>
  <si>
    <t>Roll162</t>
  </si>
  <si>
    <t>Roll163</t>
  </si>
  <si>
    <t>Roll164</t>
  </si>
  <si>
    <t>Roll165</t>
  </si>
  <si>
    <t>Roll166</t>
  </si>
  <si>
    <t>Roll167</t>
  </si>
  <si>
    <t>Roll168</t>
  </si>
  <si>
    <t>Roll169</t>
  </si>
  <si>
    <t>Roll170</t>
  </si>
  <si>
    <t>Roll171</t>
  </si>
  <si>
    <t>Roll172</t>
  </si>
  <si>
    <t>Roll173</t>
  </si>
  <si>
    <t>Roll174</t>
  </si>
  <si>
    <t>Roll175</t>
  </si>
  <si>
    <t>Roll176</t>
  </si>
  <si>
    <t>Roll177</t>
  </si>
  <si>
    <t>Roll178</t>
  </si>
  <si>
    <t>Roll179</t>
  </si>
  <si>
    <t>Roll180</t>
  </si>
  <si>
    <t>Roll181</t>
  </si>
  <si>
    <t>Roll182</t>
  </si>
  <si>
    <t>Roll183</t>
  </si>
  <si>
    <t>Roll184</t>
  </si>
  <si>
    <t>Roll185</t>
  </si>
  <si>
    <t>Roll186</t>
  </si>
  <si>
    <t>Roll187</t>
  </si>
  <si>
    <t>Roll188</t>
  </si>
  <si>
    <t>Roll189</t>
  </si>
  <si>
    <t>Roll190</t>
  </si>
  <si>
    <t>Roll191</t>
  </si>
  <si>
    <t>Roll192</t>
  </si>
  <si>
    <t>Roll193</t>
  </si>
  <si>
    <t>Roll194</t>
  </si>
  <si>
    <t>Roll195</t>
  </si>
  <si>
    <t>Roll196</t>
  </si>
  <si>
    <t>Roll197</t>
  </si>
  <si>
    <t>Roll198</t>
  </si>
  <si>
    <t>Roll199</t>
  </si>
  <si>
    <t>Roll200</t>
  </si>
  <si>
    <t>Roll201</t>
  </si>
  <si>
    <t>Roll202</t>
  </si>
  <si>
    <t>Roll203</t>
  </si>
  <si>
    <t>Roll204</t>
  </si>
  <si>
    <t>Roll205</t>
  </si>
  <si>
    <t>Roll206</t>
  </si>
  <si>
    <t>Roll207</t>
  </si>
  <si>
    <t>Roll208</t>
  </si>
  <si>
    <t>Roll209</t>
  </si>
  <si>
    <t>Roll210</t>
  </si>
  <si>
    <t>Roll211</t>
  </si>
  <si>
    <t>Roll212</t>
  </si>
  <si>
    <t>Roll213</t>
  </si>
  <si>
    <t>Roll214</t>
  </si>
  <si>
    <t>Roll215</t>
  </si>
  <si>
    <t>Roll216</t>
  </si>
  <si>
    <t>Roll217</t>
  </si>
  <si>
    <t>Roll218</t>
  </si>
  <si>
    <t>Roll219</t>
  </si>
  <si>
    <t>Roll220</t>
  </si>
  <si>
    <t>Roll221</t>
  </si>
  <si>
    <t>Roll222</t>
  </si>
  <si>
    <t>Roll223</t>
  </si>
  <si>
    <t>Roll224</t>
  </si>
  <si>
    <t>Roll225</t>
  </si>
  <si>
    <t>Roll226</t>
  </si>
  <si>
    <t>Roll227</t>
  </si>
  <si>
    <t>Roll228</t>
  </si>
  <si>
    <t>Roll229</t>
  </si>
  <si>
    <t>Roll230</t>
  </si>
  <si>
    <t>Roll231</t>
  </si>
  <si>
    <t>Roll232</t>
  </si>
  <si>
    <t>Roll233</t>
  </si>
  <si>
    <t>Roll234</t>
  </si>
  <si>
    <t>Roll235</t>
  </si>
  <si>
    <t>Roll236</t>
  </si>
  <si>
    <t>Roll237</t>
  </si>
  <si>
    <t>Roll238</t>
  </si>
  <si>
    <t>Roll239</t>
  </si>
  <si>
    <t>Roll240</t>
  </si>
  <si>
    <t>Roll241</t>
  </si>
  <si>
    <t>Roll242</t>
  </si>
  <si>
    <t>Roll243</t>
  </si>
  <si>
    <t>Roll244</t>
  </si>
  <si>
    <t>Roll245</t>
  </si>
  <si>
    <t>Roll246</t>
  </si>
  <si>
    <t>Roll247</t>
  </si>
  <si>
    <t>Roll248</t>
  </si>
  <si>
    <t>Roll249</t>
  </si>
  <si>
    <t>Roll250</t>
  </si>
  <si>
    <t>Roll251</t>
  </si>
  <si>
    <t>Roll252</t>
  </si>
  <si>
    <t>Roll253</t>
  </si>
  <si>
    <t>Roll254</t>
  </si>
  <si>
    <t>Roll255</t>
  </si>
  <si>
    <t>Roll256</t>
  </si>
  <si>
    <t>Roll257</t>
  </si>
  <si>
    <t>Roll258</t>
  </si>
  <si>
    <t>Roll259</t>
  </si>
  <si>
    <t>Roll260</t>
  </si>
  <si>
    <t>Roll261</t>
  </si>
  <si>
    <t>Roll262</t>
  </si>
  <si>
    <t>Roll263</t>
  </si>
  <si>
    <t>Roll264</t>
  </si>
  <si>
    <t>Roll265</t>
  </si>
  <si>
    <t>Roll266</t>
  </si>
  <si>
    <t>Roll267</t>
  </si>
  <si>
    <t>Roll268</t>
  </si>
  <si>
    <t>Roll269</t>
  </si>
  <si>
    <t>Roll270</t>
  </si>
  <si>
    <t>Roll271</t>
  </si>
  <si>
    <t>Roll272</t>
  </si>
  <si>
    <t>Roll273</t>
  </si>
  <si>
    <t>Roll274</t>
  </si>
  <si>
    <t>Roll275</t>
  </si>
  <si>
    <t>Roll276</t>
  </si>
  <si>
    <t>Roll277</t>
  </si>
  <si>
    <t>Roll278</t>
  </si>
  <si>
    <t>Roll279</t>
  </si>
  <si>
    <t>Roll280</t>
  </si>
  <si>
    <t>Roll281</t>
  </si>
  <si>
    <t>Roll282</t>
  </si>
  <si>
    <t>Roll283</t>
  </si>
  <si>
    <t>Roll284</t>
  </si>
  <si>
    <t>Roll285</t>
  </si>
  <si>
    <t>Roll286</t>
  </si>
  <si>
    <t>Roll287</t>
  </si>
  <si>
    <t>Roll288</t>
  </si>
  <si>
    <t>Roll289</t>
  </si>
  <si>
    <t>Roll290</t>
  </si>
  <si>
    <t>Roll291</t>
  </si>
  <si>
    <t>Roll292</t>
  </si>
  <si>
    <t>Roll293</t>
  </si>
  <si>
    <t>Roll294</t>
  </si>
  <si>
    <t>Roll295</t>
  </si>
  <si>
    <t>Roll296</t>
  </si>
  <si>
    <t>Roll297</t>
  </si>
  <si>
    <t>Roll298</t>
  </si>
  <si>
    <t>Roll299</t>
  </si>
  <si>
    <t>Roll300</t>
  </si>
  <si>
    <t>Humanities</t>
  </si>
  <si>
    <t>Sciences</t>
  </si>
  <si>
    <t>Commerce</t>
  </si>
  <si>
    <t>M.Com</t>
  </si>
  <si>
    <t>Agree</t>
  </si>
  <si>
    <t>Strongly Disagree</t>
  </si>
  <si>
    <t>Disagree</t>
  </si>
  <si>
    <t>Neutral</t>
  </si>
  <si>
    <t>Strongly Agree</t>
  </si>
  <si>
    <t>Encourages critical thinking and discussions.</t>
  </si>
  <si>
    <t>Engaging lectures with real-world examples.</t>
  </si>
  <si>
    <t>Excellent use of digital tools.</t>
  </si>
  <si>
    <t>Clear explanations and structured content.</t>
  </si>
  <si>
    <t>Supportive and approachable.</t>
  </si>
  <si>
    <t>Insufficient focus on interdisciplinary topics.</t>
  </si>
  <si>
    <t>Outdated references in reading materials.</t>
  </si>
  <si>
    <t>Limited use of modern teaching aids.</t>
  </si>
  <si>
    <t>Lacked recent case studies in the syllabus.</t>
  </si>
  <si>
    <t>Minimal integration of current research.</t>
  </si>
  <si>
    <t>Increase frequency of guest lectures.</t>
  </si>
  <si>
    <t>Provide access to more journals.</t>
  </si>
  <si>
    <t>Organize workshops on academic writing.</t>
  </si>
  <si>
    <t>Offer hands-on project opportunities.</t>
  </si>
  <si>
    <t>Include more research paper discussions.</t>
  </si>
  <si>
    <t>50-75%</t>
  </si>
  <si>
    <t>&lt;50%</t>
  </si>
  <si>
    <t>&gt;75%</t>
  </si>
  <si>
    <t>Yes</t>
  </si>
  <si>
    <t>Unsure</t>
  </si>
  <si>
    <t>No</t>
  </si>
  <si>
    <t>Checked</t>
  </si>
  <si>
    <t>Specific</t>
  </si>
  <si>
    <t>M.A.</t>
  </si>
  <si>
    <t>M.Sc.</t>
  </si>
  <si>
    <t>Sample Weight</t>
  </si>
  <si>
    <t>Attendance Bracket</t>
  </si>
  <si>
    <t>Prof.Sameer Khan</t>
  </si>
  <si>
    <t xml:space="preserve">	Humanities</t>
  </si>
  <si>
    <t>Dr.Neha Jain</t>
  </si>
  <si>
    <t>Mr.Vikram Jain</t>
  </si>
  <si>
    <t>Prof.Anjali Mehta</t>
  </si>
  <si>
    <t>Dr.Vikram Mishra</t>
  </si>
  <si>
    <t>Ms.Priya Rao</t>
  </si>
  <si>
    <t>Dr.Rajesh Gupta</t>
  </si>
  <si>
    <t>Prof.Sunita Singh</t>
  </si>
  <si>
    <t>Dr.Amit Verma</t>
  </si>
  <si>
    <t>Dr.Deeksha Sharma</t>
  </si>
  <si>
    <t xml:space="preserve"> Research_Score</t>
  </si>
  <si>
    <t xml:space="preserve">Faculty_Name </t>
  </si>
  <si>
    <t>Publication_count</t>
  </si>
  <si>
    <t>Respondent_Avg</t>
  </si>
  <si>
    <t>Dept_Mean</t>
  </si>
  <si>
    <t>Column1</t>
  </si>
  <si>
    <t>Normalized_Score</t>
  </si>
  <si>
    <t>Sample_Weight</t>
  </si>
  <si>
    <t>Sentiment Score</t>
  </si>
  <si>
    <t>Tone</t>
  </si>
  <si>
    <t>Negative</t>
  </si>
  <si>
    <t>Sum of  Research_Score</t>
  </si>
  <si>
    <t>Sum of Publication_count</t>
  </si>
  <si>
    <t>VLOOKUP</t>
  </si>
  <si>
    <t>Avg_Pub_Count</t>
  </si>
  <si>
    <t>Alignment_Index</t>
  </si>
  <si>
    <t>Helper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</si>
</sst>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0" fillId="0" borderId="0" xfId="0" applyNumberFormat="1" applyFill="1"/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0" fontId="0" fillId="0" borderId="0" xfId="0" applyNumberFormat="1"/>
    <xf numFmtId="2" fontId="1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3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bhishek Pandey" refreshedDate="46117.041665625002" createdVersion="6" refreshedVersion="6" minRefreshableVersion="3" recordCount="10">
  <cacheSource type="worksheet">
    <worksheetSource name="Table14"/>
  </cacheSource>
  <cacheFields count="4">
    <cacheField name="Faculty_Name " numFmtId="0">
      <sharedItems/>
    </cacheField>
    <cacheField name="Department" numFmtId="0">
      <sharedItems/>
    </cacheField>
    <cacheField name="Publication_count" numFmtId="0">
      <sharedItems containsSemiMixedTypes="0" containsString="0" containsNumber="1" containsInteger="1" minValue="3" maxValue="20"/>
    </cacheField>
    <cacheField name=" Research_Score" numFmtId="0">
      <sharedItems containsSemiMixedTypes="0" containsString="0" containsNumber="1" minValue="2.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Dr.Deeksha Sharma"/>
    <s v="Sciences"/>
    <n v="12"/>
    <n v="4.5"/>
  </r>
  <r>
    <s v="Dr.Amit Verma"/>
    <s v="Humanities"/>
    <n v="5"/>
    <n v="3.2"/>
  </r>
  <r>
    <s v="Prof.Sunita Singh"/>
    <s v="Humanities"/>
    <n v="8"/>
    <n v="3.8"/>
  </r>
  <r>
    <s v="Dr.Rajesh Gupta"/>
    <s v="Scienes"/>
    <n v="15"/>
    <n v="4.8"/>
  </r>
  <r>
    <s v="Ms.Priya Rao"/>
    <s v="_x0009_Commerce"/>
    <n v="3"/>
    <n v="2.5"/>
  </r>
  <r>
    <s v="Dr.Vikram Mishra"/>
    <s v="Sciences"/>
    <n v="20"/>
    <n v="5"/>
  </r>
  <r>
    <s v="Prof.Anjali Mehta"/>
    <s v="_x0009_Commerce"/>
    <n v="7"/>
    <n v="3.5"/>
  </r>
  <r>
    <s v="Mr.Vikram Jain"/>
    <s v="_x0009_Commerce"/>
    <n v="4"/>
    <n v="3"/>
  </r>
  <r>
    <s v="Dr.Neha Jain"/>
    <s v="_x0009_Humanities"/>
    <n v="6"/>
    <n v="3.4"/>
  </r>
  <r>
    <s v="Prof.Sameer Khan"/>
    <s v="Sciences"/>
    <n v="18"/>
    <n v="4.9000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" firstHeaderRow="0" firstDataRow="1" firstDataCol="0"/>
  <pivotFields count="4"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Publication_count" fld="2" baseField="0" baseItem="0"/>
    <dataField name="Sum of  Research_Scor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N301" totalsRowShown="0" headerRowDxfId="29">
  <autoFilter ref="A1:AN301"/>
  <tableColumns count="40">
    <tableColumn id="1" name="Full Name"/>
    <tableColumn id="2" name="Institutional Roll Number"/>
    <tableColumn id="3" name="Department"/>
    <tableColumn id="4" name="Specific" dataDxfId="28"/>
    <tableColumn id="6" name="Depth of Expertise" dataDxfId="27"/>
    <tableColumn id="7" name="Subject Currency" dataDxfId="26"/>
    <tableColumn id="8" name="Conceptual Clarity" dataDxfId="25"/>
    <tableColumn id="9" name="Critical Inquiry" dataDxfId="24"/>
    <tableColumn id="10" name="Syllabus Coverage" dataDxfId="23"/>
    <tableColumn id="11" name="Interdisciplinary Links" dataDxfId="22"/>
    <tableColumn id="12" name="Research-Teaching Link"/>
    <tableColumn id="37" name="Helper Column" dataDxfId="21">
      <calculatedColumnFormula>IF(TRIM(K2)="Strongly Agree", 5, IF(TRIM(K2)="Agree", 4, IF(TRIM(K2)="Neutral", 3, IF(TRIM(K2)="Disagree", 2, IF(TRIM(K2)="Strongly Disagree", 1, 0)))))</calculatedColumnFormula>
    </tableColumn>
    <tableColumn id="13" name="Publication Insights" dataDxfId="20"/>
    <tableColumn id="14" name="Thesis/Project Guidance" dataDxfId="19"/>
    <tableColumn id="15" name="Scientific Temper" dataDxfId="18"/>
    <tableColumn id="16" name="Resource Recommendation" dataDxfId="17"/>
    <tableColumn id="17" name="PG Lab/Library Access" dataDxfId="16"/>
    <tableColumn id="18" name="ICT Integration" dataDxfId="15"/>
    <tableColumn id="19" name="Seminar Frequency" dataDxfId="14"/>
    <tableColumn id="20" name="Internal Assessment" dataDxfId="13"/>
    <tableColumn id="21" name="Faculty Accessibility" dataDxfId="12"/>
    <tableColumn id="22" name="Primary Strength"/>
    <tableColumn id="23" name="Innovation Gap"/>
    <tableColumn id="24" name="Actionable Suggestion"/>
    <tableColumn id="25" name="Attendance Bracket"/>
    <tableColumn id="26" name="Bias Check"/>
    <tableColumn id="27" name="Form Completion Time" dataDxfId="11"/>
    <tableColumn id="28" name="Awareness"/>
    <tableColumn id="29" name="Impact Belief" dataDxfId="10"/>
    <tableColumn id="30" name="Digital Signature"/>
    <tableColumn id="31" name="Sample Weight" dataDxfId="9">
      <calculatedColumnFormula>IF(AE4, 1.25, 1)</calculatedColumnFormula>
    </tableColumn>
    <tableColumn id="32" name="Respondent_Avg" dataDxfId="8">
      <calculatedColumnFormula>AVERAGE(E2:U2)</calculatedColumnFormula>
    </tableColumn>
    <tableColumn id="33" name="Dept_Mean" dataDxfId="7">
      <calculatedColumnFormula>AVERAGEIF($C:$C, C2, $AE:$AE)</calculatedColumnFormula>
    </tableColumn>
    <tableColumn id="34" name="Normalized_Score" dataDxfId="6">
      <calculatedColumnFormula>AF2- AG2</calculatedColumnFormula>
    </tableColumn>
    <tableColumn id="36" name="Sample_Weight" dataDxfId="5">
      <calculatedColumnFormula>IF(Table1[[#This Row],[Attendance Bracket]]="&gt;75%", 1, IF(Table1[[#This Row],[Attendance Bracket]]="50-75%", 0.8, 0.6))</calculatedColumnFormula>
    </tableColumn>
    <tableColumn id="39" name="Sentiment Score" dataDxfId="4"/>
    <tableColumn id="40" name="Tone" dataDxfId="3"/>
    <tableColumn id="43" name="VLOOKUP" dataDxfId="2">
      <calculatedColumnFormula>VLOOKUP(C2,Table14[[#All],[Department]:[Publication_count]], 2, FALSE)</calculatedColumnFormula>
    </tableColumn>
    <tableColumn id="45" name="Avg_Pub_Count" dataDxfId="1"/>
    <tableColumn id="47" name="Alignment_Index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A321:AA322" insertRow="1" totalsRowShown="0">
  <autoFilter ref="AA321:AA322"/>
  <tableColumns count="1">
    <tableColumn id="1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D11" totalsRowShown="0">
  <autoFilter ref="A1:D11"/>
  <tableColumns count="4">
    <tableColumn id="1" name="Faculty_Name "/>
    <tableColumn id="2" name="Department"/>
    <tableColumn id="3" name="Publication_count"/>
    <tableColumn id="4" name=" Research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21"/>
  <sheetViews>
    <sheetView tabSelected="1" topLeftCell="D1" workbookViewId="0">
      <selection activeCell="J17" sqref="J17"/>
    </sheetView>
  </sheetViews>
  <sheetFormatPr defaultRowHeight="15" x14ac:dyDescent="0.25"/>
  <cols>
    <col min="1" max="1" width="13.85546875" customWidth="1"/>
    <col min="2" max="2" width="25.5703125" customWidth="1"/>
    <col min="3" max="3" width="16.85546875" customWidth="1"/>
    <col min="4" max="4" width="28.7109375" style="5" customWidth="1"/>
    <col min="5" max="5" width="22.28515625" style="3" bestFit="1" customWidth="1"/>
    <col min="6" max="6" width="24.28515625" style="3" customWidth="1"/>
    <col min="7" max="7" width="23.5703125" style="3" customWidth="1"/>
    <col min="8" max="8" width="16" style="3" customWidth="1"/>
    <col min="9" max="9" width="19.140625" style="3" customWidth="1"/>
    <col min="10" max="10" width="22.42578125" style="3" customWidth="1"/>
    <col min="11" max="11" width="23.7109375" customWidth="1"/>
    <col min="12" max="12" width="20.42578125" style="3" customWidth="1"/>
    <col min="13" max="13" width="24.7109375" style="3" customWidth="1"/>
    <col min="14" max="14" width="18.5703125" style="3" customWidth="1"/>
    <col min="15" max="15" width="27.42578125" style="3" customWidth="1"/>
    <col min="16" max="16" width="22.28515625" style="3" customWidth="1"/>
    <col min="17" max="17" width="16.140625" style="3" customWidth="1"/>
    <col min="18" max="18" width="20.140625" style="3" customWidth="1"/>
    <col min="19" max="19" width="21.140625" style="3" customWidth="1"/>
    <col min="20" max="20" width="20.85546875" style="3" customWidth="1"/>
    <col min="21" max="22" width="41.140625" bestFit="1" customWidth="1"/>
    <col min="23" max="23" width="38.5703125" bestFit="1" customWidth="1"/>
    <col min="24" max="24" width="44.140625" customWidth="1"/>
    <col min="25" max="25" width="12.42578125" customWidth="1"/>
    <col min="26" max="26" width="23.42578125" style="3" customWidth="1"/>
    <col min="27" max="27" width="15.28515625" bestFit="1" customWidth="1"/>
    <col min="28" max="28" width="17.28515625" style="3" bestFit="1" customWidth="1"/>
    <col min="29" max="29" width="17.7109375" customWidth="1"/>
    <col min="30" max="30" width="19.28515625" style="3" bestFit="1" customWidth="1"/>
    <col min="31" max="31" width="20.7109375" style="3" bestFit="1" customWidth="1"/>
    <col min="32" max="32" width="16" style="3" bestFit="1" customWidth="1"/>
    <col min="33" max="33" width="22" style="3" bestFit="1" customWidth="1"/>
    <col min="34" max="34" width="19.85546875" style="3" bestFit="1" customWidth="1"/>
    <col min="35" max="35" width="20.28515625" style="3" bestFit="1" customWidth="1"/>
    <col min="36" max="36" width="10" bestFit="1" customWidth="1"/>
    <col min="37" max="37" width="13.42578125" style="3" bestFit="1" customWidth="1"/>
    <col min="38" max="38" width="19.7109375" bestFit="1" customWidth="1"/>
    <col min="39" max="39" width="19.7109375" style="3" bestFit="1" customWidth="1"/>
    <col min="40" max="40" width="21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658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9</v>
      </c>
      <c r="L1" s="2" t="s">
        <v>690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1" t="s">
        <v>19</v>
      </c>
      <c r="W1" s="1" t="s">
        <v>20</v>
      </c>
      <c r="X1" s="1" t="s">
        <v>21</v>
      </c>
      <c r="Y1" s="1" t="s">
        <v>662</v>
      </c>
      <c r="Z1" s="1" t="s">
        <v>22</v>
      </c>
      <c r="AA1" s="2" t="s">
        <v>23</v>
      </c>
      <c r="AB1" s="1" t="s">
        <v>24</v>
      </c>
      <c r="AC1" s="2" t="s">
        <v>25</v>
      </c>
      <c r="AD1" s="1" t="s">
        <v>26</v>
      </c>
      <c r="AE1" s="9" t="s">
        <v>661</v>
      </c>
      <c r="AF1" s="7" t="s">
        <v>677</v>
      </c>
      <c r="AG1" s="7" t="s">
        <v>678</v>
      </c>
      <c r="AH1" s="7" t="s">
        <v>680</v>
      </c>
      <c r="AI1" s="7" t="s">
        <v>681</v>
      </c>
      <c r="AJ1" s="7" t="s">
        <v>682</v>
      </c>
      <c r="AK1" s="6" t="s">
        <v>683</v>
      </c>
      <c r="AL1" s="7" t="s">
        <v>687</v>
      </c>
      <c r="AM1" s="7" t="s">
        <v>688</v>
      </c>
      <c r="AN1" s="7" t="s">
        <v>689</v>
      </c>
    </row>
    <row r="2" spans="1:40" x14ac:dyDescent="0.25">
      <c r="A2" t="s">
        <v>27</v>
      </c>
      <c r="B2" t="s">
        <v>327</v>
      </c>
      <c r="C2" t="s">
        <v>627</v>
      </c>
      <c r="D2" s="5" t="s">
        <v>659</v>
      </c>
      <c r="E2" s="3">
        <v>4</v>
      </c>
      <c r="F2" s="3">
        <v>2</v>
      </c>
      <c r="G2" s="3">
        <v>3</v>
      </c>
      <c r="H2" s="3">
        <v>3</v>
      </c>
      <c r="I2" s="3">
        <v>5</v>
      </c>
      <c r="J2" s="3">
        <v>2</v>
      </c>
      <c r="K2" t="s">
        <v>631</v>
      </c>
      <c r="L2" s="3">
        <f t="shared" ref="L2:L65" si="0">IF(TRIM(K2)="Strongly Agree", 5, IF(TRIM(K2)="Agree", 4, IF(TRIM(K2)="Neutral", 3, IF(TRIM(K2)="Disagree", 2, IF(TRIM(K2)="Strongly Disagree", 1, 0)))))</f>
        <v>4</v>
      </c>
      <c r="M2" s="3">
        <v>2</v>
      </c>
      <c r="N2" s="3">
        <v>4</v>
      </c>
      <c r="O2" s="3">
        <v>2</v>
      </c>
      <c r="P2" s="3">
        <v>2</v>
      </c>
      <c r="Q2" s="3">
        <v>5</v>
      </c>
      <c r="R2" s="3">
        <v>5</v>
      </c>
      <c r="S2" s="3">
        <v>2</v>
      </c>
      <c r="T2" s="3">
        <v>1</v>
      </c>
      <c r="U2" s="3">
        <v>3</v>
      </c>
      <c r="V2" t="s">
        <v>636</v>
      </c>
      <c r="W2" t="s">
        <v>641</v>
      </c>
      <c r="X2" t="s">
        <v>646</v>
      </c>
      <c r="Y2" t="s">
        <v>651</v>
      </c>
      <c r="Z2" t="s">
        <v>654</v>
      </c>
      <c r="AA2" s="3">
        <v>9</v>
      </c>
      <c r="AB2">
        <v>0</v>
      </c>
      <c r="AC2" s="3">
        <v>3</v>
      </c>
      <c r="AD2" t="s">
        <v>657</v>
      </c>
      <c r="AE2" s="3">
        <f>IF(AE4, 1.25, 1)</f>
        <v>1.25</v>
      </c>
      <c r="AF2" s="3">
        <f>AVERAGE(E2:U2)</f>
        <v>3.0625</v>
      </c>
      <c r="AG2" s="3">
        <f>AVERAGEIF($C:$C, C2, $AE:$AE)</f>
        <v>1.25</v>
      </c>
      <c r="AH2" s="3">
        <f t="shared" ref="AH2:AH65" si="1">AF2- AG2</f>
        <v>1.8125</v>
      </c>
      <c r="AI2" s="3">
        <f>IF(Table1[[#This Row],[Attendance Bracket]]="&gt;75%", 1, IF(Table1[[#This Row],[Attendance Bracket]]="50-75%", 0.8, 0.6))</f>
        <v>0.8</v>
      </c>
      <c r="AJ2" s="3">
        <v>2</v>
      </c>
      <c r="AK2" s="3" t="s">
        <v>684</v>
      </c>
      <c r="AL2" s="3">
        <f>VLOOKUP(C2,Table14[[#All],[Department]:[Publication_count]], 2, FALSE)</f>
        <v>5</v>
      </c>
      <c r="AM2" s="3">
        <v>6.3333333329999997</v>
      </c>
      <c r="AN2" s="3">
        <v>1.974358974</v>
      </c>
    </row>
    <row r="3" spans="1:40" x14ac:dyDescent="0.25">
      <c r="A3" t="s">
        <v>28</v>
      </c>
      <c r="B3" t="s">
        <v>328</v>
      </c>
      <c r="C3" t="s">
        <v>627</v>
      </c>
      <c r="D3" s="5" t="s">
        <v>659</v>
      </c>
      <c r="E3" s="3">
        <v>4</v>
      </c>
      <c r="F3" s="3">
        <v>5</v>
      </c>
      <c r="G3" s="3">
        <v>3</v>
      </c>
      <c r="H3" s="3">
        <v>1</v>
      </c>
      <c r="I3" s="3">
        <v>3</v>
      </c>
      <c r="J3" s="3">
        <v>3</v>
      </c>
      <c r="K3" t="s">
        <v>632</v>
      </c>
      <c r="L3" s="3">
        <f t="shared" si="0"/>
        <v>1</v>
      </c>
      <c r="M3" s="3">
        <v>1</v>
      </c>
      <c r="N3" s="3">
        <v>2</v>
      </c>
      <c r="O3" s="3">
        <v>3</v>
      </c>
      <c r="P3" s="3">
        <v>1</v>
      </c>
      <c r="Q3" s="3">
        <v>5</v>
      </c>
      <c r="R3" s="3">
        <v>1</v>
      </c>
      <c r="S3" s="3">
        <v>4</v>
      </c>
      <c r="T3" s="3">
        <v>3</v>
      </c>
      <c r="U3" s="3">
        <v>2</v>
      </c>
      <c r="V3" t="s">
        <v>636</v>
      </c>
      <c r="W3" t="s">
        <v>641</v>
      </c>
      <c r="X3" t="s">
        <v>647</v>
      </c>
      <c r="Y3" t="s">
        <v>652</v>
      </c>
      <c r="Z3" t="s">
        <v>654</v>
      </c>
      <c r="AA3" s="3">
        <v>13</v>
      </c>
      <c r="AB3">
        <v>1</v>
      </c>
      <c r="AC3" s="3">
        <v>1</v>
      </c>
      <c r="AD3" t="s">
        <v>657</v>
      </c>
      <c r="AE3" s="3">
        <f>IF(AE5, 1.25, 1)</f>
        <v>1.25</v>
      </c>
      <c r="AF3" s="3">
        <f>AVERAGE(E3:U3)</f>
        <v>2.625</v>
      </c>
      <c r="AG3" s="3">
        <f>AVERAGEIF($C:$C, C3, $AE:$AE)</f>
        <v>1.25</v>
      </c>
      <c r="AH3" s="3">
        <f t="shared" si="1"/>
        <v>1.375</v>
      </c>
      <c r="AI3" s="3">
        <f>IF(Table1[[#This Row],[Attendance Bracket]]="&gt;75%", 1, IF(Table1[[#This Row],[Attendance Bracket]]="50-75%", 0.8, 0.6))</f>
        <v>0.6</v>
      </c>
      <c r="AJ3" s="3">
        <v>2</v>
      </c>
      <c r="AK3" s="3" t="s">
        <v>684</v>
      </c>
      <c r="AL3" s="3">
        <f>VLOOKUP(C3,Table14[[#All],[Department]:[Publication_count]], 2, FALSE)</f>
        <v>5</v>
      </c>
      <c r="AM3" s="3">
        <v>6.3333333329999997</v>
      </c>
      <c r="AN3" s="3">
        <v>3.4743589739999998</v>
      </c>
    </row>
    <row r="4" spans="1:40" x14ac:dyDescent="0.25">
      <c r="A4" t="s">
        <v>29</v>
      </c>
      <c r="B4" t="s">
        <v>329</v>
      </c>
      <c r="C4" t="s">
        <v>628</v>
      </c>
      <c r="D4" s="5" t="s">
        <v>660</v>
      </c>
      <c r="E4" s="3">
        <v>1</v>
      </c>
      <c r="F4" s="3">
        <v>2</v>
      </c>
      <c r="G4" s="3">
        <v>3</v>
      </c>
      <c r="H4" s="3">
        <v>4</v>
      </c>
      <c r="I4" s="3">
        <v>1</v>
      </c>
      <c r="J4" s="3">
        <v>5</v>
      </c>
      <c r="K4" t="s">
        <v>633</v>
      </c>
      <c r="L4" s="3">
        <f t="shared" si="0"/>
        <v>2</v>
      </c>
      <c r="M4" s="3">
        <v>2</v>
      </c>
      <c r="N4" s="3">
        <v>1</v>
      </c>
      <c r="O4" s="3">
        <v>5</v>
      </c>
      <c r="P4" s="3">
        <v>1</v>
      </c>
      <c r="Q4" s="3">
        <v>5</v>
      </c>
      <c r="R4" s="3">
        <v>5</v>
      </c>
      <c r="S4" s="3">
        <v>3</v>
      </c>
      <c r="T4" s="3">
        <v>2</v>
      </c>
      <c r="U4" s="3">
        <v>5</v>
      </c>
      <c r="V4" t="s">
        <v>637</v>
      </c>
      <c r="W4" t="s">
        <v>642</v>
      </c>
      <c r="X4" t="s">
        <v>647</v>
      </c>
      <c r="Y4" t="s">
        <v>651</v>
      </c>
      <c r="Z4" t="s">
        <v>654</v>
      </c>
      <c r="AA4" s="3">
        <v>13</v>
      </c>
      <c r="AB4">
        <v>1</v>
      </c>
      <c r="AC4" s="3">
        <v>3</v>
      </c>
      <c r="AD4" t="s">
        <v>657</v>
      </c>
      <c r="AE4" s="3">
        <f t="shared" ref="AE4:AE67" si="2">IF(AE6, 1.25, 1)</f>
        <v>1.25</v>
      </c>
      <c r="AF4" s="3">
        <f>AVERAGE(E4:U4)</f>
        <v>2.9375</v>
      </c>
      <c r="AG4" s="3">
        <f>AVERAGEIF($C:$C, C4, $AE:$AE)</f>
        <v>1.25</v>
      </c>
      <c r="AH4" s="3">
        <f t="shared" si="1"/>
        <v>1.6875</v>
      </c>
      <c r="AI4" s="3">
        <f>IF(Table1[[#This Row],[Attendance Bracket]]="&gt;75%", 1, IF(Table1[[#This Row],[Attendance Bracket]]="50-75%", 0.8, 0.6))</f>
        <v>0.8</v>
      </c>
      <c r="AJ4" s="3">
        <v>1</v>
      </c>
      <c r="AK4" s="3" t="s">
        <v>684</v>
      </c>
      <c r="AL4" s="3">
        <f>VLOOKUP(C4,Table14[[#All],[Department]:[Publication_count]], 2, FALSE)</f>
        <v>12</v>
      </c>
      <c r="AM4" s="3">
        <v>16.25</v>
      </c>
      <c r="AN4" s="3">
        <v>3.5</v>
      </c>
    </row>
    <row r="5" spans="1:40" x14ac:dyDescent="0.25">
      <c r="A5" t="s">
        <v>30</v>
      </c>
      <c r="B5" t="s">
        <v>330</v>
      </c>
      <c r="C5" t="s">
        <v>628</v>
      </c>
      <c r="D5" s="5" t="s">
        <v>660</v>
      </c>
      <c r="E5" s="3">
        <v>4</v>
      </c>
      <c r="F5" s="3">
        <v>2</v>
      </c>
      <c r="G5" s="3">
        <v>3</v>
      </c>
      <c r="H5" s="3">
        <v>5</v>
      </c>
      <c r="I5" s="3">
        <v>5</v>
      </c>
      <c r="J5" s="3">
        <v>4</v>
      </c>
      <c r="K5" t="s">
        <v>634</v>
      </c>
      <c r="L5" s="3">
        <f t="shared" si="0"/>
        <v>3</v>
      </c>
      <c r="M5" s="3">
        <v>4</v>
      </c>
      <c r="N5" s="3">
        <v>2</v>
      </c>
      <c r="O5" s="3">
        <v>4</v>
      </c>
      <c r="P5" s="3">
        <v>5</v>
      </c>
      <c r="Q5" s="3">
        <v>1</v>
      </c>
      <c r="R5" s="3">
        <v>3</v>
      </c>
      <c r="S5" s="3">
        <v>1</v>
      </c>
      <c r="T5" s="3">
        <v>4</v>
      </c>
      <c r="U5" s="3">
        <v>5</v>
      </c>
      <c r="V5" t="s">
        <v>638</v>
      </c>
      <c r="W5" t="s">
        <v>643</v>
      </c>
      <c r="X5" t="s">
        <v>646</v>
      </c>
      <c r="Y5" t="s">
        <v>652</v>
      </c>
      <c r="Z5" t="s">
        <v>655</v>
      </c>
      <c r="AA5" s="3">
        <v>15</v>
      </c>
      <c r="AB5">
        <v>0</v>
      </c>
      <c r="AC5" s="3">
        <v>1</v>
      </c>
      <c r="AD5" t="s">
        <v>657</v>
      </c>
      <c r="AE5" s="3">
        <f t="shared" si="2"/>
        <v>1.25</v>
      </c>
      <c r="AF5" s="3">
        <f>AVERAGE(E5:U5)</f>
        <v>3.4375</v>
      </c>
      <c r="AG5" s="3">
        <f>AVERAGEIF($C:$C, C5, $AE:$AE)</f>
        <v>1.25</v>
      </c>
      <c r="AH5" s="3">
        <f t="shared" si="1"/>
        <v>2.1875</v>
      </c>
      <c r="AI5" s="3">
        <f>IF(Table1[[#This Row],[Attendance Bracket]]="&gt;75%", 1, IF(Table1[[#This Row],[Attendance Bracket]]="50-75%", 0.8, 0.6))</f>
        <v>0.6</v>
      </c>
      <c r="AJ5" s="3">
        <v>2</v>
      </c>
      <c r="AK5" s="3" t="s">
        <v>684</v>
      </c>
      <c r="AL5" s="3">
        <f>VLOOKUP(C5,Table14[[#All],[Department]:[Publication_count]], 2, FALSE)</f>
        <v>12</v>
      </c>
      <c r="AM5" s="3">
        <v>16.25</v>
      </c>
      <c r="AN5" s="3">
        <v>3.5</v>
      </c>
    </row>
    <row r="6" spans="1:40" x14ac:dyDescent="0.25">
      <c r="A6" t="s">
        <v>31</v>
      </c>
      <c r="B6" t="s">
        <v>331</v>
      </c>
      <c r="C6" t="s">
        <v>629</v>
      </c>
      <c r="D6" s="5" t="s">
        <v>630</v>
      </c>
      <c r="E6" s="3">
        <v>3</v>
      </c>
      <c r="F6" s="3">
        <v>1</v>
      </c>
      <c r="G6" s="3">
        <v>5</v>
      </c>
      <c r="H6" s="3">
        <v>4</v>
      </c>
      <c r="I6" s="3">
        <v>3</v>
      </c>
      <c r="J6" s="3">
        <v>2</v>
      </c>
      <c r="K6" t="s">
        <v>635</v>
      </c>
      <c r="L6" s="3">
        <f t="shared" si="0"/>
        <v>5</v>
      </c>
      <c r="M6" s="3">
        <v>2</v>
      </c>
      <c r="N6" s="3">
        <v>5</v>
      </c>
      <c r="O6" s="3">
        <v>2</v>
      </c>
      <c r="P6" s="3">
        <v>4</v>
      </c>
      <c r="Q6" s="3">
        <v>2</v>
      </c>
      <c r="R6" s="3">
        <v>4</v>
      </c>
      <c r="S6" s="3">
        <v>2</v>
      </c>
      <c r="T6" s="3">
        <v>2</v>
      </c>
      <c r="U6" s="3">
        <v>2</v>
      </c>
      <c r="V6" t="s">
        <v>639</v>
      </c>
      <c r="W6" t="s">
        <v>641</v>
      </c>
      <c r="X6" t="s">
        <v>648</v>
      </c>
      <c r="Y6" t="s">
        <v>653</v>
      </c>
      <c r="Z6" t="s">
        <v>655</v>
      </c>
      <c r="AA6" s="3">
        <v>10</v>
      </c>
      <c r="AB6">
        <v>0</v>
      </c>
      <c r="AC6" s="3">
        <v>4</v>
      </c>
      <c r="AD6" t="s">
        <v>657</v>
      </c>
      <c r="AE6" s="3">
        <f t="shared" si="2"/>
        <v>1.25</v>
      </c>
      <c r="AF6" s="3">
        <f>AVERAGE(E6:U6)</f>
        <v>3</v>
      </c>
      <c r="AG6" s="3">
        <f>AVERAGEIF($C:$C, C6, $AE:$AE)</f>
        <v>1.2450000000000001</v>
      </c>
      <c r="AH6" s="3">
        <f t="shared" si="1"/>
        <v>1.7549999999999999</v>
      </c>
      <c r="AI6" s="3">
        <f>IF(Table1[[#This Row],[Attendance Bracket]]="&gt;75%", 1, IF(Table1[[#This Row],[Attendance Bracket]]="50-75%", 0.8, 0.6))</f>
        <v>1</v>
      </c>
      <c r="AJ6" s="3">
        <v>2</v>
      </c>
      <c r="AK6" s="3" t="s">
        <v>684</v>
      </c>
      <c r="AL6" s="3">
        <f>VLOOKUP(C6,Table14[[#All],[Department]:[Publication_count]], 2, FALSE)</f>
        <v>3</v>
      </c>
      <c r="AM6" s="3">
        <v>4.6666666670000003</v>
      </c>
      <c r="AN6" s="3">
        <v>1.2179487179999999</v>
      </c>
    </row>
    <row r="7" spans="1:40" x14ac:dyDescent="0.25">
      <c r="A7" t="s">
        <v>32</v>
      </c>
      <c r="B7" t="s">
        <v>332</v>
      </c>
      <c r="C7" t="s">
        <v>629</v>
      </c>
      <c r="D7" s="5" t="s">
        <v>630</v>
      </c>
      <c r="E7" s="3">
        <v>4</v>
      </c>
      <c r="F7" s="3">
        <v>3</v>
      </c>
      <c r="G7" s="3">
        <v>5</v>
      </c>
      <c r="H7" s="3">
        <v>2</v>
      </c>
      <c r="I7" s="3">
        <v>1</v>
      </c>
      <c r="J7" s="3">
        <v>3</v>
      </c>
      <c r="K7" t="s">
        <v>634</v>
      </c>
      <c r="L7" s="3">
        <f t="shared" si="0"/>
        <v>3</v>
      </c>
      <c r="M7" s="3">
        <v>3</v>
      </c>
      <c r="N7" s="3">
        <v>4</v>
      </c>
      <c r="O7" s="3">
        <v>4</v>
      </c>
      <c r="P7" s="3">
        <v>2</v>
      </c>
      <c r="Q7" s="3">
        <v>2</v>
      </c>
      <c r="R7" s="3">
        <v>4</v>
      </c>
      <c r="S7" s="3">
        <v>4</v>
      </c>
      <c r="T7" s="3">
        <v>4</v>
      </c>
      <c r="U7" s="3">
        <v>4</v>
      </c>
      <c r="V7" t="s">
        <v>639</v>
      </c>
      <c r="W7" t="s">
        <v>644</v>
      </c>
      <c r="X7" t="s">
        <v>647</v>
      </c>
      <c r="Y7" t="s">
        <v>651</v>
      </c>
      <c r="Z7" t="s">
        <v>655</v>
      </c>
      <c r="AA7" s="3">
        <v>17</v>
      </c>
      <c r="AB7">
        <v>0</v>
      </c>
      <c r="AC7" s="3">
        <v>2</v>
      </c>
      <c r="AD7" t="s">
        <v>657</v>
      </c>
      <c r="AE7" s="3">
        <f t="shared" si="2"/>
        <v>1.25</v>
      </c>
      <c r="AF7" s="3">
        <f>AVERAGE(E7:U7)</f>
        <v>3.25</v>
      </c>
      <c r="AG7" s="3">
        <f>AVERAGEIF($C:$C, C7, $AE:$AE)</f>
        <v>1.2450000000000001</v>
      </c>
      <c r="AH7" s="3">
        <f t="shared" si="1"/>
        <v>2.0049999999999999</v>
      </c>
      <c r="AI7" s="3">
        <f>IF(Table1[[#This Row],[Attendance Bracket]]="&gt;75%", 1, IF(Table1[[#This Row],[Attendance Bracket]]="50-75%", 0.8, 0.6))</f>
        <v>0.8</v>
      </c>
      <c r="AJ7" s="3">
        <v>2</v>
      </c>
      <c r="AK7" s="3" t="s">
        <v>684</v>
      </c>
      <c r="AL7" s="3">
        <f>VLOOKUP(C7,Table14[[#All],[Department]:[Publication_count]], 2, FALSE)</f>
        <v>3</v>
      </c>
      <c r="AM7" s="3">
        <v>4.6666666670000003</v>
      </c>
      <c r="AN7" s="3">
        <v>2.2179487180000002</v>
      </c>
    </row>
    <row r="8" spans="1:40" x14ac:dyDescent="0.25">
      <c r="A8" t="s">
        <v>33</v>
      </c>
      <c r="B8" t="s">
        <v>333</v>
      </c>
      <c r="C8" t="s">
        <v>628</v>
      </c>
      <c r="D8" s="5" t="s">
        <v>660</v>
      </c>
      <c r="E8" s="3">
        <v>4</v>
      </c>
      <c r="F8" s="3">
        <v>1</v>
      </c>
      <c r="G8" s="3">
        <v>2</v>
      </c>
      <c r="H8" s="3">
        <v>5</v>
      </c>
      <c r="I8" s="3">
        <v>4</v>
      </c>
      <c r="J8" s="3">
        <v>4</v>
      </c>
      <c r="K8" t="s">
        <v>635</v>
      </c>
      <c r="L8" s="3">
        <f t="shared" si="0"/>
        <v>5</v>
      </c>
      <c r="M8" s="3">
        <v>5</v>
      </c>
      <c r="N8" s="3">
        <v>2</v>
      </c>
      <c r="O8" s="3">
        <v>2</v>
      </c>
      <c r="P8" s="3">
        <v>3</v>
      </c>
      <c r="Q8" s="3">
        <v>2</v>
      </c>
      <c r="R8" s="3">
        <v>1</v>
      </c>
      <c r="S8" s="3">
        <v>4</v>
      </c>
      <c r="T8" s="3">
        <v>5</v>
      </c>
      <c r="U8" s="3">
        <v>3</v>
      </c>
      <c r="V8" t="s">
        <v>636</v>
      </c>
      <c r="W8" t="s">
        <v>642</v>
      </c>
      <c r="X8" t="s">
        <v>649</v>
      </c>
      <c r="Y8" t="s">
        <v>652</v>
      </c>
      <c r="Z8" t="s">
        <v>656</v>
      </c>
      <c r="AA8" s="3">
        <v>15</v>
      </c>
      <c r="AB8">
        <v>0</v>
      </c>
      <c r="AC8" s="3">
        <v>4</v>
      </c>
      <c r="AD8" t="s">
        <v>657</v>
      </c>
      <c r="AE8" s="3">
        <f t="shared" si="2"/>
        <v>1.25</v>
      </c>
      <c r="AF8" s="3">
        <f>AVERAGE(E8:U8)</f>
        <v>3.25</v>
      </c>
      <c r="AG8" s="3">
        <f>AVERAGEIF($C:$C, C8, $AE:$AE)</f>
        <v>1.25</v>
      </c>
      <c r="AH8" s="3">
        <f t="shared" si="1"/>
        <v>2</v>
      </c>
      <c r="AI8" s="3">
        <f>IF(Table1[[#This Row],[Attendance Bracket]]="&gt;75%", 1, IF(Table1[[#This Row],[Attendance Bracket]]="50-75%", 0.8, 0.6))</f>
        <v>0.6</v>
      </c>
      <c r="AJ8" s="3">
        <v>1</v>
      </c>
      <c r="AK8" s="3" t="s">
        <v>684</v>
      </c>
      <c r="AL8" s="3">
        <f>VLOOKUP(C8,Table14[[#All],[Department]:[Publication_count]], 2, FALSE)</f>
        <v>12</v>
      </c>
      <c r="AM8" s="3">
        <v>16.25</v>
      </c>
      <c r="AN8" s="3">
        <v>3</v>
      </c>
    </row>
    <row r="9" spans="1:40" x14ac:dyDescent="0.25">
      <c r="A9" t="s">
        <v>34</v>
      </c>
      <c r="B9" t="s">
        <v>334</v>
      </c>
      <c r="C9" t="s">
        <v>629</v>
      </c>
      <c r="D9" s="5" t="s">
        <v>630</v>
      </c>
      <c r="E9" s="3">
        <v>3</v>
      </c>
      <c r="F9" s="3">
        <v>2</v>
      </c>
      <c r="G9" s="3">
        <v>3</v>
      </c>
      <c r="H9" s="3">
        <v>1</v>
      </c>
      <c r="I9" s="3">
        <v>4</v>
      </c>
      <c r="J9" s="3">
        <v>2</v>
      </c>
      <c r="K9" t="s">
        <v>631</v>
      </c>
      <c r="L9" s="3">
        <f t="shared" si="0"/>
        <v>4</v>
      </c>
      <c r="M9" s="3">
        <v>5</v>
      </c>
      <c r="N9" s="3">
        <v>2</v>
      </c>
      <c r="O9" s="3">
        <v>2</v>
      </c>
      <c r="P9" s="3">
        <v>1</v>
      </c>
      <c r="Q9" s="3">
        <v>3</v>
      </c>
      <c r="R9" s="3">
        <v>5</v>
      </c>
      <c r="S9" s="3">
        <v>5</v>
      </c>
      <c r="T9" s="3">
        <v>4</v>
      </c>
      <c r="U9" s="3">
        <v>4</v>
      </c>
      <c r="V9" t="s">
        <v>639</v>
      </c>
      <c r="W9" t="s">
        <v>645</v>
      </c>
      <c r="X9" t="s">
        <v>649</v>
      </c>
      <c r="Y9" t="s">
        <v>653</v>
      </c>
      <c r="Z9" t="s">
        <v>656</v>
      </c>
      <c r="AA9" s="3">
        <v>13</v>
      </c>
      <c r="AB9">
        <v>0</v>
      </c>
      <c r="AC9" s="3">
        <v>5</v>
      </c>
      <c r="AD9" t="s">
        <v>657</v>
      </c>
      <c r="AE9" s="3">
        <f t="shared" si="2"/>
        <v>1.25</v>
      </c>
      <c r="AF9" s="3">
        <f>AVERAGE(E9:U9)</f>
        <v>3.125</v>
      </c>
      <c r="AG9" s="3">
        <f>AVERAGEIF($C:$C, C9, $AE:$AE)</f>
        <v>1.2450000000000001</v>
      </c>
      <c r="AH9" s="3">
        <f t="shared" si="1"/>
        <v>1.88</v>
      </c>
      <c r="AI9" s="3">
        <f>IF(Table1[[#This Row],[Attendance Bracket]]="&gt;75%", 1, IF(Table1[[#This Row],[Attendance Bracket]]="50-75%", 0.8, 0.6))</f>
        <v>1</v>
      </c>
      <c r="AJ9" s="3">
        <v>3</v>
      </c>
      <c r="AK9" s="3" t="s">
        <v>634</v>
      </c>
      <c r="AL9" s="3">
        <f>VLOOKUP(C9,Table14[[#All],[Department]:[Publication_count]], 2, FALSE)</f>
        <v>3</v>
      </c>
      <c r="AM9" s="3">
        <v>4.6666666670000003</v>
      </c>
      <c r="AN9" s="3">
        <v>1.7179487179999999</v>
      </c>
    </row>
    <row r="10" spans="1:40" x14ac:dyDescent="0.25">
      <c r="A10" t="s">
        <v>35</v>
      </c>
      <c r="B10" t="s">
        <v>335</v>
      </c>
      <c r="C10" t="s">
        <v>628</v>
      </c>
      <c r="D10" s="5" t="s">
        <v>660</v>
      </c>
      <c r="E10" s="3">
        <v>5</v>
      </c>
      <c r="F10" s="3">
        <v>4</v>
      </c>
      <c r="G10" s="3">
        <v>3</v>
      </c>
      <c r="H10" s="3">
        <v>1</v>
      </c>
      <c r="I10" s="3">
        <v>1</v>
      </c>
      <c r="J10" s="3">
        <v>5</v>
      </c>
      <c r="K10" t="s">
        <v>634</v>
      </c>
      <c r="L10" s="3">
        <f t="shared" si="0"/>
        <v>3</v>
      </c>
      <c r="M10" s="3">
        <v>5</v>
      </c>
      <c r="N10" s="3">
        <v>1</v>
      </c>
      <c r="O10" s="3">
        <v>3</v>
      </c>
      <c r="P10" s="3">
        <v>2</v>
      </c>
      <c r="Q10" s="3">
        <v>1</v>
      </c>
      <c r="R10" s="3">
        <v>4</v>
      </c>
      <c r="S10" s="3">
        <v>3</v>
      </c>
      <c r="T10" s="3">
        <v>2</v>
      </c>
      <c r="U10" s="3">
        <v>2</v>
      </c>
      <c r="V10" t="s">
        <v>637</v>
      </c>
      <c r="W10" t="s">
        <v>644</v>
      </c>
      <c r="X10" t="s">
        <v>649</v>
      </c>
      <c r="Y10" t="s">
        <v>653</v>
      </c>
      <c r="Z10" t="s">
        <v>655</v>
      </c>
      <c r="AA10" s="3">
        <v>11</v>
      </c>
      <c r="AB10">
        <v>0</v>
      </c>
      <c r="AC10" s="3">
        <v>3</v>
      </c>
      <c r="AD10" t="s">
        <v>657</v>
      </c>
      <c r="AE10" s="3">
        <f t="shared" si="2"/>
        <v>1.25</v>
      </c>
      <c r="AF10" s="3">
        <f>AVERAGE(E10:U10)</f>
        <v>2.8125</v>
      </c>
      <c r="AG10" s="3">
        <f>AVERAGEIF($C:$C, C10, $AE:$AE)</f>
        <v>1.25</v>
      </c>
      <c r="AH10" s="3">
        <f t="shared" si="1"/>
        <v>1.5625</v>
      </c>
      <c r="AI10" s="3">
        <f>IF(Table1[[#This Row],[Attendance Bracket]]="&gt;75%", 1, IF(Table1[[#This Row],[Attendance Bracket]]="50-75%", 0.8, 0.6))</f>
        <v>1</v>
      </c>
      <c r="AJ10" s="3">
        <v>2</v>
      </c>
      <c r="AK10" s="3" t="s">
        <v>684</v>
      </c>
      <c r="AL10" s="3">
        <f>VLOOKUP(C10,Table14[[#All],[Department]:[Publication_count]], 2, FALSE)</f>
        <v>12</v>
      </c>
      <c r="AM10" s="3">
        <v>16.25</v>
      </c>
      <c r="AN10" s="3">
        <v>4.5</v>
      </c>
    </row>
    <row r="11" spans="1:40" x14ac:dyDescent="0.25">
      <c r="A11" t="s">
        <v>36</v>
      </c>
      <c r="B11" t="s">
        <v>336</v>
      </c>
      <c r="C11" t="s">
        <v>629</v>
      </c>
      <c r="D11" s="5" t="s">
        <v>630</v>
      </c>
      <c r="E11" s="3">
        <v>1</v>
      </c>
      <c r="F11" s="3">
        <v>1</v>
      </c>
      <c r="G11" s="3">
        <v>5</v>
      </c>
      <c r="H11" s="3">
        <v>5</v>
      </c>
      <c r="I11" s="3">
        <v>3</v>
      </c>
      <c r="J11" s="3">
        <v>4</v>
      </c>
      <c r="K11" t="s">
        <v>635</v>
      </c>
      <c r="L11" s="3">
        <f t="shared" si="0"/>
        <v>5</v>
      </c>
      <c r="M11" s="3">
        <v>5</v>
      </c>
      <c r="N11" s="3">
        <v>3</v>
      </c>
      <c r="O11" s="3">
        <v>2</v>
      </c>
      <c r="P11" s="3">
        <v>3</v>
      </c>
      <c r="Q11" s="3">
        <v>2</v>
      </c>
      <c r="R11" s="3">
        <v>3</v>
      </c>
      <c r="S11" s="3">
        <v>2</v>
      </c>
      <c r="T11" s="3">
        <v>2</v>
      </c>
      <c r="U11" s="3">
        <v>5</v>
      </c>
      <c r="V11" t="s">
        <v>640</v>
      </c>
      <c r="W11" t="s">
        <v>643</v>
      </c>
      <c r="X11" t="s">
        <v>646</v>
      </c>
      <c r="Y11" t="s">
        <v>653</v>
      </c>
      <c r="Z11" t="s">
        <v>656</v>
      </c>
      <c r="AA11" s="3">
        <v>13</v>
      </c>
      <c r="AB11">
        <v>0</v>
      </c>
      <c r="AC11" s="3">
        <v>4</v>
      </c>
      <c r="AD11" t="s">
        <v>657</v>
      </c>
      <c r="AE11" s="3">
        <f>IF(AE13, 1.25, 1)</f>
        <v>1.25</v>
      </c>
      <c r="AF11" s="3">
        <f>AVERAGE(E11:U11)</f>
        <v>3.1875</v>
      </c>
      <c r="AG11" s="3">
        <f>AVERAGEIF($C:$C, C11, $AE:$AE)</f>
        <v>1.2450000000000001</v>
      </c>
      <c r="AH11" s="3">
        <f t="shared" si="1"/>
        <v>1.9424999999999999</v>
      </c>
      <c r="AI11" s="3">
        <f>IF(Table1[[#This Row],[Attendance Bracket]]="&gt;75%", 1, IF(Table1[[#This Row],[Attendance Bracket]]="50-75%", 0.8, 0.6))</f>
        <v>1</v>
      </c>
      <c r="AJ11" s="3">
        <v>2</v>
      </c>
      <c r="AK11" s="3" t="s">
        <v>684</v>
      </c>
      <c r="AL11" s="3">
        <f>VLOOKUP(C11,Table14[[#All],[Department]:[Publication_count]], 2, FALSE)</f>
        <v>3</v>
      </c>
      <c r="AM11" s="3">
        <v>4.6666666670000003</v>
      </c>
      <c r="AN11" s="3">
        <v>1.2179487179999999</v>
      </c>
    </row>
    <row r="12" spans="1:40" x14ac:dyDescent="0.25">
      <c r="A12" t="s">
        <v>37</v>
      </c>
      <c r="B12" t="s">
        <v>337</v>
      </c>
      <c r="C12" t="s">
        <v>628</v>
      </c>
      <c r="D12" s="5" t="s">
        <v>660</v>
      </c>
      <c r="E12" s="3">
        <v>2</v>
      </c>
      <c r="F12" s="3">
        <v>1</v>
      </c>
      <c r="G12" s="3">
        <v>5</v>
      </c>
      <c r="H12" s="3">
        <v>2</v>
      </c>
      <c r="I12" s="3">
        <v>4</v>
      </c>
      <c r="J12" s="3">
        <v>5</v>
      </c>
      <c r="K12" t="s">
        <v>633</v>
      </c>
      <c r="L12" s="3">
        <f t="shared" si="0"/>
        <v>2</v>
      </c>
      <c r="M12" s="3">
        <v>5</v>
      </c>
      <c r="N12" s="3">
        <v>4</v>
      </c>
      <c r="O12" s="3">
        <v>2</v>
      </c>
      <c r="P12" s="3">
        <v>5</v>
      </c>
      <c r="Q12" s="3">
        <v>2</v>
      </c>
      <c r="R12" s="3">
        <v>3</v>
      </c>
      <c r="S12" s="3">
        <v>5</v>
      </c>
      <c r="T12" s="3">
        <v>3</v>
      </c>
      <c r="U12" s="3">
        <v>2</v>
      </c>
      <c r="V12" t="s">
        <v>637</v>
      </c>
      <c r="W12" t="s">
        <v>641</v>
      </c>
      <c r="X12" t="s">
        <v>648</v>
      </c>
      <c r="Y12" t="s">
        <v>651</v>
      </c>
      <c r="Z12" t="s">
        <v>654</v>
      </c>
      <c r="AA12" s="3">
        <v>16</v>
      </c>
      <c r="AB12">
        <v>0</v>
      </c>
      <c r="AC12" s="3">
        <v>2</v>
      </c>
      <c r="AD12" t="s">
        <v>657</v>
      </c>
      <c r="AE12" s="3">
        <f>IF(AE14, 1.25, 1)</f>
        <v>1.25</v>
      </c>
      <c r="AF12" s="3">
        <f>AVERAGE(E12:U12)</f>
        <v>3.25</v>
      </c>
      <c r="AG12" s="3">
        <f>AVERAGEIF($C:$C, C12, $AE:$AE)</f>
        <v>1.25</v>
      </c>
      <c r="AH12" s="3">
        <f t="shared" si="1"/>
        <v>2</v>
      </c>
      <c r="AI12" s="3">
        <f>IF(Table1[[#This Row],[Attendance Bracket]]="&gt;75%", 1, IF(Table1[[#This Row],[Attendance Bracket]]="50-75%", 0.8, 0.6))</f>
        <v>0.8</v>
      </c>
      <c r="AJ12" s="3">
        <v>2</v>
      </c>
      <c r="AK12" s="3" t="s">
        <v>684</v>
      </c>
      <c r="AL12" s="3">
        <f>VLOOKUP(C12,Table14[[#All],[Department]:[Publication_count]], 2, FALSE)</f>
        <v>12</v>
      </c>
      <c r="AM12" s="3">
        <v>16.25</v>
      </c>
      <c r="AN12" s="3">
        <v>3</v>
      </c>
    </row>
    <row r="13" spans="1:40" x14ac:dyDescent="0.25">
      <c r="A13" t="s">
        <v>38</v>
      </c>
      <c r="B13" t="s">
        <v>338</v>
      </c>
      <c r="C13" t="s">
        <v>627</v>
      </c>
      <c r="D13" s="5" t="s">
        <v>630</v>
      </c>
      <c r="E13" s="3">
        <v>4</v>
      </c>
      <c r="F13" s="3">
        <v>3</v>
      </c>
      <c r="G13" s="3">
        <v>4</v>
      </c>
      <c r="H13" s="3">
        <v>5</v>
      </c>
      <c r="I13" s="3">
        <v>2</v>
      </c>
      <c r="J13" s="3">
        <v>5</v>
      </c>
      <c r="K13" t="s">
        <v>631</v>
      </c>
      <c r="L13" s="3">
        <f t="shared" si="0"/>
        <v>4</v>
      </c>
      <c r="M13" s="3">
        <v>4</v>
      </c>
      <c r="N13" s="3">
        <v>3</v>
      </c>
      <c r="O13" s="3">
        <v>3</v>
      </c>
      <c r="P13" s="3">
        <v>4</v>
      </c>
      <c r="Q13" s="3">
        <v>1</v>
      </c>
      <c r="R13" s="3">
        <v>2</v>
      </c>
      <c r="S13" s="3">
        <v>3</v>
      </c>
      <c r="T13" s="3">
        <v>4</v>
      </c>
      <c r="U13" s="3">
        <v>4</v>
      </c>
      <c r="V13" t="s">
        <v>637</v>
      </c>
      <c r="W13" t="s">
        <v>645</v>
      </c>
      <c r="X13" t="s">
        <v>649</v>
      </c>
      <c r="Y13" t="s">
        <v>652</v>
      </c>
      <c r="Z13" t="s">
        <v>655</v>
      </c>
      <c r="AA13" s="4">
        <v>5</v>
      </c>
      <c r="AB13">
        <v>0</v>
      </c>
      <c r="AC13" s="3">
        <v>5</v>
      </c>
      <c r="AD13" t="s">
        <v>657</v>
      </c>
      <c r="AE13" s="3">
        <f t="shared" si="2"/>
        <v>1.25</v>
      </c>
      <c r="AF13" s="3">
        <f>AVERAGE(E13:U13)</f>
        <v>3.4375</v>
      </c>
      <c r="AG13" s="3">
        <f>AVERAGEIF($C:$C, C13, $AE:$AE)</f>
        <v>1.25</v>
      </c>
      <c r="AH13" s="3">
        <f t="shared" si="1"/>
        <v>2.1875</v>
      </c>
      <c r="AI13" s="3">
        <f>IF(Table1[[#This Row],[Attendance Bracket]]="&gt;75%", 1, IF(Table1[[#This Row],[Attendance Bracket]]="50-75%", 0.8, 0.6))</f>
        <v>0.6</v>
      </c>
      <c r="AJ13" s="3">
        <v>3</v>
      </c>
      <c r="AK13" s="3" t="s">
        <v>634</v>
      </c>
      <c r="AL13" s="3">
        <f>VLOOKUP(C13,Table14[[#All],[Department]:[Publication_count]], 2, FALSE)</f>
        <v>5</v>
      </c>
      <c r="AM13" s="3">
        <v>6.3333333329999997</v>
      </c>
      <c r="AN13" s="3">
        <v>2.4743589739999998</v>
      </c>
    </row>
    <row r="14" spans="1:40" x14ac:dyDescent="0.25">
      <c r="A14" t="s">
        <v>39</v>
      </c>
      <c r="B14" t="s">
        <v>339</v>
      </c>
      <c r="C14" t="s">
        <v>629</v>
      </c>
      <c r="D14" s="5" t="s">
        <v>659</v>
      </c>
      <c r="E14" s="3">
        <v>1</v>
      </c>
      <c r="F14" s="3">
        <v>4</v>
      </c>
      <c r="G14" s="3">
        <v>3</v>
      </c>
      <c r="H14" s="3">
        <v>5</v>
      </c>
      <c r="I14" s="3">
        <v>2</v>
      </c>
      <c r="J14" s="3">
        <v>3</v>
      </c>
      <c r="K14" t="s">
        <v>631</v>
      </c>
      <c r="L14" s="3">
        <f t="shared" si="0"/>
        <v>4</v>
      </c>
      <c r="M14" s="3">
        <v>1</v>
      </c>
      <c r="N14" s="3">
        <v>4</v>
      </c>
      <c r="O14" s="3">
        <v>1</v>
      </c>
      <c r="P14" s="3">
        <v>2</v>
      </c>
      <c r="Q14" s="3">
        <v>3</v>
      </c>
      <c r="R14" s="3">
        <v>5</v>
      </c>
      <c r="S14" s="3">
        <v>1</v>
      </c>
      <c r="T14" s="3">
        <v>4</v>
      </c>
      <c r="U14" s="3">
        <v>1</v>
      </c>
      <c r="V14" t="s">
        <v>640</v>
      </c>
      <c r="W14" t="s">
        <v>643</v>
      </c>
      <c r="X14" t="s">
        <v>647</v>
      </c>
      <c r="Y14" t="s">
        <v>652</v>
      </c>
      <c r="Z14" t="s">
        <v>654</v>
      </c>
      <c r="AA14" s="3">
        <v>16</v>
      </c>
      <c r="AB14">
        <v>0</v>
      </c>
      <c r="AC14" s="3">
        <v>1</v>
      </c>
      <c r="AD14" t="s">
        <v>657</v>
      </c>
      <c r="AE14" s="3">
        <f t="shared" si="2"/>
        <v>1.25</v>
      </c>
      <c r="AF14" s="3">
        <f>AVERAGE(E14:U14)</f>
        <v>2.75</v>
      </c>
      <c r="AG14" s="3">
        <f>AVERAGEIF($C:$C, C14, $AE:$AE)</f>
        <v>1.2450000000000001</v>
      </c>
      <c r="AH14" s="3">
        <f t="shared" si="1"/>
        <v>1.5049999999999999</v>
      </c>
      <c r="AI14" s="3">
        <f>IF(Table1[[#This Row],[Attendance Bracket]]="&gt;75%", 1, IF(Table1[[#This Row],[Attendance Bracket]]="50-75%", 0.8, 0.6))</f>
        <v>0.6</v>
      </c>
      <c r="AJ14" s="3">
        <v>2</v>
      </c>
      <c r="AK14" s="3" t="s">
        <v>684</v>
      </c>
      <c r="AL14" s="3">
        <f>VLOOKUP(C14,Table14[[#All],[Department]:[Publication_count]], 2, FALSE)</f>
        <v>3</v>
      </c>
      <c r="AM14" s="3">
        <v>4.6666666670000003</v>
      </c>
      <c r="AN14" s="3">
        <v>2.7179487180000002</v>
      </c>
    </row>
    <row r="15" spans="1:40" x14ac:dyDescent="0.25">
      <c r="A15" t="s">
        <v>40</v>
      </c>
      <c r="B15" t="s">
        <v>340</v>
      </c>
      <c r="C15" t="s">
        <v>629</v>
      </c>
      <c r="D15" s="5" t="s">
        <v>660</v>
      </c>
      <c r="E15" s="3">
        <v>2</v>
      </c>
      <c r="F15" s="3">
        <v>4</v>
      </c>
      <c r="G15" s="3">
        <v>3</v>
      </c>
      <c r="H15" s="3">
        <v>1</v>
      </c>
      <c r="I15" s="3">
        <v>3</v>
      </c>
      <c r="J15" s="3">
        <v>2</v>
      </c>
      <c r="K15" t="s">
        <v>633</v>
      </c>
      <c r="L15" s="3">
        <f t="shared" si="0"/>
        <v>2</v>
      </c>
      <c r="M15" s="3">
        <v>1</v>
      </c>
      <c r="N15" s="3">
        <v>4</v>
      </c>
      <c r="O15" s="3">
        <v>4</v>
      </c>
      <c r="P15" s="3">
        <v>1</v>
      </c>
      <c r="Q15" s="3">
        <v>2</v>
      </c>
      <c r="R15" s="3">
        <v>4</v>
      </c>
      <c r="S15" s="3">
        <v>5</v>
      </c>
      <c r="T15" s="3">
        <v>3</v>
      </c>
      <c r="U15" s="3">
        <v>1</v>
      </c>
      <c r="V15" t="s">
        <v>640</v>
      </c>
      <c r="W15" t="s">
        <v>641</v>
      </c>
      <c r="X15" t="s">
        <v>647</v>
      </c>
      <c r="Y15" t="s">
        <v>651</v>
      </c>
      <c r="Z15" t="s">
        <v>654</v>
      </c>
      <c r="AA15" s="3">
        <v>10</v>
      </c>
      <c r="AB15">
        <v>1</v>
      </c>
      <c r="AC15" s="3">
        <v>3</v>
      </c>
      <c r="AD15" t="s">
        <v>657</v>
      </c>
      <c r="AE15" s="3">
        <f t="shared" si="2"/>
        <v>1.25</v>
      </c>
      <c r="AF15" s="3">
        <f>AVERAGE(E15:U15)</f>
        <v>2.625</v>
      </c>
      <c r="AG15" s="3">
        <f>AVERAGEIF($C:$C, C15, $AE:$AE)</f>
        <v>1.2450000000000001</v>
      </c>
      <c r="AH15" s="3">
        <f t="shared" si="1"/>
        <v>1.38</v>
      </c>
      <c r="AI15" s="3">
        <f>IF(Table1[[#This Row],[Attendance Bracket]]="&gt;75%", 1, IF(Table1[[#This Row],[Attendance Bracket]]="50-75%", 0.8, 0.6))</f>
        <v>0.8</v>
      </c>
      <c r="AJ15" s="3">
        <v>2</v>
      </c>
      <c r="AK15" s="3" t="s">
        <v>684</v>
      </c>
      <c r="AL15" s="3">
        <f>VLOOKUP(C15,Table14[[#All],[Department]:[Publication_count]], 2, FALSE)</f>
        <v>3</v>
      </c>
      <c r="AM15" s="3">
        <v>4.6666666670000003</v>
      </c>
      <c r="AN15" s="3">
        <v>2.7179487180000002</v>
      </c>
    </row>
    <row r="16" spans="1:40" x14ac:dyDescent="0.25">
      <c r="A16" t="s">
        <v>41</v>
      </c>
      <c r="B16" t="s">
        <v>341</v>
      </c>
      <c r="C16" t="s">
        <v>629</v>
      </c>
      <c r="D16" s="5" t="s">
        <v>630</v>
      </c>
      <c r="E16" s="3">
        <v>3</v>
      </c>
      <c r="F16" s="3">
        <v>2</v>
      </c>
      <c r="G16" s="3">
        <v>5</v>
      </c>
      <c r="H16" s="3">
        <v>3</v>
      </c>
      <c r="I16" s="3">
        <v>4</v>
      </c>
      <c r="J16" s="3">
        <v>3</v>
      </c>
      <c r="K16" t="s">
        <v>633</v>
      </c>
      <c r="L16" s="3">
        <f t="shared" si="0"/>
        <v>2</v>
      </c>
      <c r="M16" s="3">
        <v>5</v>
      </c>
      <c r="N16" s="3">
        <v>2</v>
      </c>
      <c r="O16" s="3">
        <v>4</v>
      </c>
      <c r="P16" s="3">
        <v>4</v>
      </c>
      <c r="Q16" s="3">
        <v>3</v>
      </c>
      <c r="R16" s="3">
        <v>2</v>
      </c>
      <c r="S16" s="3">
        <v>5</v>
      </c>
      <c r="T16" s="3">
        <v>2</v>
      </c>
      <c r="U16" s="3">
        <v>3</v>
      </c>
      <c r="V16" t="s">
        <v>639</v>
      </c>
      <c r="W16" t="s">
        <v>641</v>
      </c>
      <c r="X16" t="s">
        <v>646</v>
      </c>
      <c r="Y16" t="s">
        <v>651</v>
      </c>
      <c r="Z16" t="s">
        <v>654</v>
      </c>
      <c r="AA16" s="3">
        <v>6</v>
      </c>
      <c r="AB16">
        <v>1</v>
      </c>
      <c r="AC16" s="3">
        <v>1</v>
      </c>
      <c r="AD16" t="s">
        <v>657</v>
      </c>
      <c r="AE16" s="3">
        <f t="shared" si="2"/>
        <v>1.25</v>
      </c>
      <c r="AF16" s="3">
        <f>AVERAGE(E16:U16)</f>
        <v>3.25</v>
      </c>
      <c r="AG16" s="3">
        <f>AVERAGEIF($C:$C, C16, $AE:$AE)</f>
        <v>1.2450000000000001</v>
      </c>
      <c r="AH16" s="3">
        <f t="shared" si="1"/>
        <v>2.0049999999999999</v>
      </c>
      <c r="AI16" s="3">
        <f>IF(Table1[[#This Row],[Attendance Bracket]]="&gt;75%", 1, IF(Table1[[#This Row],[Attendance Bracket]]="50-75%", 0.8, 0.6))</f>
        <v>0.8</v>
      </c>
      <c r="AJ16" s="3">
        <v>2</v>
      </c>
      <c r="AK16" s="3" t="s">
        <v>684</v>
      </c>
      <c r="AL16" s="3">
        <f>VLOOKUP(C16,Table14[[#All],[Department]:[Publication_count]], 2, FALSE)</f>
        <v>3</v>
      </c>
      <c r="AM16" s="3">
        <v>4.6666666670000003</v>
      </c>
      <c r="AN16" s="3">
        <v>1.7179487179999999</v>
      </c>
    </row>
    <row r="17" spans="1:40" x14ac:dyDescent="0.25">
      <c r="A17" t="s">
        <v>42</v>
      </c>
      <c r="B17" t="s">
        <v>342</v>
      </c>
      <c r="C17" t="s">
        <v>628</v>
      </c>
      <c r="D17" s="5" t="s">
        <v>659</v>
      </c>
      <c r="E17" s="3">
        <v>2</v>
      </c>
      <c r="F17" s="3">
        <v>4</v>
      </c>
      <c r="G17" s="3">
        <v>2</v>
      </c>
      <c r="H17" s="3">
        <v>5</v>
      </c>
      <c r="I17" s="3">
        <v>5</v>
      </c>
      <c r="J17" s="3">
        <v>5</v>
      </c>
      <c r="K17" t="s">
        <v>633</v>
      </c>
      <c r="L17" s="3">
        <f t="shared" si="0"/>
        <v>2</v>
      </c>
      <c r="M17" s="3">
        <v>3</v>
      </c>
      <c r="N17" s="3">
        <v>5</v>
      </c>
      <c r="O17" s="3">
        <v>3</v>
      </c>
      <c r="P17" s="3">
        <v>1</v>
      </c>
      <c r="Q17" s="3">
        <v>3</v>
      </c>
      <c r="R17" s="3">
        <v>2</v>
      </c>
      <c r="S17" s="3">
        <v>5</v>
      </c>
      <c r="T17" s="3">
        <v>1</v>
      </c>
      <c r="U17" s="3">
        <v>3</v>
      </c>
      <c r="V17" t="s">
        <v>636</v>
      </c>
      <c r="W17" t="s">
        <v>641</v>
      </c>
      <c r="X17" t="s">
        <v>648</v>
      </c>
      <c r="Y17" t="s">
        <v>653</v>
      </c>
      <c r="Z17" t="s">
        <v>655</v>
      </c>
      <c r="AA17" s="3">
        <v>12</v>
      </c>
      <c r="AB17">
        <v>1</v>
      </c>
      <c r="AC17" s="3">
        <v>5</v>
      </c>
      <c r="AD17" t="s">
        <v>657</v>
      </c>
      <c r="AE17" s="3">
        <f t="shared" si="2"/>
        <v>1.25</v>
      </c>
      <c r="AF17" s="3">
        <f>AVERAGE(E17:U17)</f>
        <v>3.1875</v>
      </c>
      <c r="AG17" s="3">
        <f>AVERAGEIF($C:$C, C17, $AE:$AE)</f>
        <v>1.25</v>
      </c>
      <c r="AH17" s="3">
        <f t="shared" si="1"/>
        <v>1.9375</v>
      </c>
      <c r="AI17" s="3">
        <f>IF(Table1[[#This Row],[Attendance Bracket]]="&gt;75%", 1, IF(Table1[[#This Row],[Attendance Bracket]]="50-75%", 0.8, 0.6))</f>
        <v>1</v>
      </c>
      <c r="AJ17" s="3">
        <v>2</v>
      </c>
      <c r="AK17" s="3" t="s">
        <v>684</v>
      </c>
      <c r="AL17" s="3">
        <f>VLOOKUP(C17,Table14[[#All],[Department]:[Publication_count]], 2, FALSE)</f>
        <v>12</v>
      </c>
      <c r="AM17" s="3">
        <v>16.25</v>
      </c>
      <c r="AN17" s="3">
        <v>4.5</v>
      </c>
    </row>
    <row r="18" spans="1:40" x14ac:dyDescent="0.25">
      <c r="A18" t="s">
        <v>43</v>
      </c>
      <c r="B18" t="s">
        <v>343</v>
      </c>
      <c r="C18" t="s">
        <v>629</v>
      </c>
      <c r="D18" s="5" t="s">
        <v>659</v>
      </c>
      <c r="E18" s="3">
        <v>4</v>
      </c>
      <c r="F18" s="3">
        <v>2</v>
      </c>
      <c r="G18" s="3">
        <v>4</v>
      </c>
      <c r="H18" s="3">
        <v>5</v>
      </c>
      <c r="I18" s="3">
        <v>2</v>
      </c>
      <c r="J18" s="3">
        <v>5</v>
      </c>
      <c r="K18" t="s">
        <v>631</v>
      </c>
      <c r="L18" s="3">
        <f t="shared" si="0"/>
        <v>4</v>
      </c>
      <c r="M18" s="3">
        <v>4</v>
      </c>
      <c r="N18" s="3">
        <v>2</v>
      </c>
      <c r="O18" s="3">
        <v>2</v>
      </c>
      <c r="P18" s="3">
        <v>4</v>
      </c>
      <c r="Q18" s="3">
        <v>3</v>
      </c>
      <c r="R18" s="3">
        <v>4</v>
      </c>
      <c r="S18" s="3">
        <v>3</v>
      </c>
      <c r="T18" s="3">
        <v>5</v>
      </c>
      <c r="U18" s="3">
        <v>1</v>
      </c>
      <c r="V18" t="s">
        <v>637</v>
      </c>
      <c r="W18" t="s">
        <v>644</v>
      </c>
      <c r="X18" t="s">
        <v>649</v>
      </c>
      <c r="Y18" t="s">
        <v>652</v>
      </c>
      <c r="Z18" t="s">
        <v>655</v>
      </c>
      <c r="AA18" s="3">
        <v>17</v>
      </c>
      <c r="AB18">
        <v>1</v>
      </c>
      <c r="AC18" s="3">
        <v>1</v>
      </c>
      <c r="AD18" t="s">
        <v>657</v>
      </c>
      <c r="AE18" s="3">
        <f t="shared" si="2"/>
        <v>1.25</v>
      </c>
      <c r="AF18" s="3">
        <f>AVERAGE(E18:U18)</f>
        <v>3.375</v>
      </c>
      <c r="AG18" s="3">
        <f>AVERAGEIF($C:$C, C18, $AE:$AE)</f>
        <v>1.2450000000000001</v>
      </c>
      <c r="AH18" s="3">
        <f t="shared" si="1"/>
        <v>2.13</v>
      </c>
      <c r="AI18" s="3">
        <f>IF(Table1[[#This Row],[Attendance Bracket]]="&gt;75%", 1, IF(Table1[[#This Row],[Attendance Bracket]]="50-75%", 0.8, 0.6))</f>
        <v>0.6</v>
      </c>
      <c r="AJ18" s="3">
        <v>2</v>
      </c>
      <c r="AK18" s="3" t="s">
        <v>684</v>
      </c>
      <c r="AL18" s="3">
        <f>VLOOKUP(C18,Table14[[#All],[Department]:[Publication_count]], 2, FALSE)</f>
        <v>3</v>
      </c>
      <c r="AM18" s="3">
        <v>4.6666666670000003</v>
      </c>
      <c r="AN18" s="3">
        <v>1.7179487179999999</v>
      </c>
    </row>
    <row r="19" spans="1:40" x14ac:dyDescent="0.25">
      <c r="A19" t="s">
        <v>44</v>
      </c>
      <c r="B19" t="s">
        <v>344</v>
      </c>
      <c r="C19" t="s">
        <v>627</v>
      </c>
      <c r="D19" s="5" t="s">
        <v>659</v>
      </c>
      <c r="E19" s="3">
        <v>3</v>
      </c>
      <c r="F19" s="3">
        <v>4</v>
      </c>
      <c r="G19" s="3">
        <v>2</v>
      </c>
      <c r="H19" s="3">
        <v>3</v>
      </c>
      <c r="I19" s="3">
        <v>5</v>
      </c>
      <c r="J19" s="3">
        <v>5</v>
      </c>
      <c r="K19" t="s">
        <v>633</v>
      </c>
      <c r="L19" s="3">
        <f t="shared" si="0"/>
        <v>2</v>
      </c>
      <c r="M19" s="3">
        <v>1</v>
      </c>
      <c r="N19" s="3">
        <v>1</v>
      </c>
      <c r="O19" s="3">
        <v>4</v>
      </c>
      <c r="P19" s="3">
        <v>1</v>
      </c>
      <c r="Q19" s="3">
        <v>5</v>
      </c>
      <c r="R19" s="3">
        <v>2</v>
      </c>
      <c r="S19" s="3">
        <v>2</v>
      </c>
      <c r="T19" s="3">
        <v>2</v>
      </c>
      <c r="U19" s="3">
        <v>5</v>
      </c>
      <c r="V19" t="s">
        <v>638</v>
      </c>
      <c r="W19" t="s">
        <v>642</v>
      </c>
      <c r="X19" t="s">
        <v>650</v>
      </c>
      <c r="Y19" t="s">
        <v>652</v>
      </c>
      <c r="Z19" t="s">
        <v>654</v>
      </c>
      <c r="AA19" s="3">
        <v>7</v>
      </c>
      <c r="AB19">
        <v>1</v>
      </c>
      <c r="AC19" s="3">
        <v>4</v>
      </c>
      <c r="AD19" t="s">
        <v>657</v>
      </c>
      <c r="AE19" s="3">
        <f t="shared" si="2"/>
        <v>1.25</v>
      </c>
      <c r="AF19" s="3">
        <f>AVERAGE(E19:U19)</f>
        <v>2.9375</v>
      </c>
      <c r="AG19" s="3">
        <f>AVERAGEIF($C:$C, C19, $AE:$AE)</f>
        <v>1.25</v>
      </c>
      <c r="AH19" s="3">
        <f t="shared" si="1"/>
        <v>1.6875</v>
      </c>
      <c r="AI19" s="3">
        <f>IF(Table1[[#This Row],[Attendance Bracket]]="&gt;75%", 1, IF(Table1[[#This Row],[Attendance Bracket]]="50-75%", 0.8, 0.6))</f>
        <v>0.6</v>
      </c>
      <c r="AJ19" s="3">
        <v>1</v>
      </c>
      <c r="AK19" s="3" t="s">
        <v>684</v>
      </c>
      <c r="AL19" s="3">
        <f>VLOOKUP(C19,Table14[[#All],[Department]:[Publication_count]], 2, FALSE)</f>
        <v>5</v>
      </c>
      <c r="AM19" s="3">
        <v>6.3333333329999997</v>
      </c>
      <c r="AN19" s="3">
        <v>2.9743589739999998</v>
      </c>
    </row>
    <row r="20" spans="1:40" x14ac:dyDescent="0.25">
      <c r="A20" t="s">
        <v>45</v>
      </c>
      <c r="B20" t="s">
        <v>345</v>
      </c>
      <c r="C20" t="s">
        <v>628</v>
      </c>
      <c r="D20" s="5" t="s">
        <v>660</v>
      </c>
      <c r="E20" s="3">
        <v>4</v>
      </c>
      <c r="F20" s="3">
        <v>1</v>
      </c>
      <c r="G20" s="3">
        <v>1</v>
      </c>
      <c r="H20" s="3">
        <v>2</v>
      </c>
      <c r="I20" s="3">
        <v>3</v>
      </c>
      <c r="J20" s="3">
        <v>3</v>
      </c>
      <c r="K20" t="s">
        <v>634</v>
      </c>
      <c r="L20" s="3">
        <f t="shared" si="0"/>
        <v>3</v>
      </c>
      <c r="M20" s="3">
        <v>1</v>
      </c>
      <c r="N20" s="3">
        <v>1</v>
      </c>
      <c r="O20" s="3">
        <v>3</v>
      </c>
      <c r="P20" s="3">
        <v>4</v>
      </c>
      <c r="Q20" s="3">
        <v>5</v>
      </c>
      <c r="R20" s="3">
        <v>2</v>
      </c>
      <c r="S20" s="3">
        <v>3</v>
      </c>
      <c r="T20" s="3">
        <v>4</v>
      </c>
      <c r="U20" s="3">
        <v>3</v>
      </c>
      <c r="V20" t="s">
        <v>637</v>
      </c>
      <c r="W20" t="s">
        <v>641</v>
      </c>
      <c r="X20" t="s">
        <v>647</v>
      </c>
      <c r="Y20" t="s">
        <v>653</v>
      </c>
      <c r="Z20" t="s">
        <v>655</v>
      </c>
      <c r="AA20" s="3">
        <v>9</v>
      </c>
      <c r="AB20">
        <v>1</v>
      </c>
      <c r="AC20" s="3">
        <v>2</v>
      </c>
      <c r="AD20" t="s">
        <v>657</v>
      </c>
      <c r="AE20" s="3">
        <f t="shared" si="2"/>
        <v>1.25</v>
      </c>
      <c r="AF20" s="3">
        <f>AVERAGE(E20:U20)</f>
        <v>2.6875</v>
      </c>
      <c r="AG20" s="3">
        <f>AVERAGEIF($C:$C, C20, $AE:$AE)</f>
        <v>1.25</v>
      </c>
      <c r="AH20" s="3">
        <f t="shared" si="1"/>
        <v>1.4375</v>
      </c>
      <c r="AI20" s="3">
        <f>IF(Table1[[#This Row],[Attendance Bracket]]="&gt;75%", 1, IF(Table1[[#This Row],[Attendance Bracket]]="50-75%", 0.8, 0.6))</f>
        <v>1</v>
      </c>
      <c r="AJ20" s="3">
        <v>2</v>
      </c>
      <c r="AK20" s="3" t="s">
        <v>684</v>
      </c>
      <c r="AL20" s="3">
        <f>VLOOKUP(C20,Table14[[#All],[Department]:[Publication_count]], 2, FALSE)</f>
        <v>12</v>
      </c>
      <c r="AM20" s="3">
        <v>16.25</v>
      </c>
      <c r="AN20" s="3">
        <v>3</v>
      </c>
    </row>
    <row r="21" spans="1:40" x14ac:dyDescent="0.25">
      <c r="A21" t="s">
        <v>46</v>
      </c>
      <c r="B21" t="s">
        <v>346</v>
      </c>
      <c r="C21" t="s">
        <v>629</v>
      </c>
      <c r="D21" s="5" t="s">
        <v>630</v>
      </c>
      <c r="E21" s="3">
        <v>3</v>
      </c>
      <c r="F21" s="3">
        <v>3</v>
      </c>
      <c r="G21" s="3">
        <v>5</v>
      </c>
      <c r="H21" s="3">
        <v>5</v>
      </c>
      <c r="I21" s="3">
        <v>5</v>
      </c>
      <c r="J21" s="3">
        <v>4</v>
      </c>
      <c r="K21" t="s">
        <v>635</v>
      </c>
      <c r="L21" s="3">
        <f t="shared" si="0"/>
        <v>5</v>
      </c>
      <c r="M21" s="3">
        <v>5</v>
      </c>
      <c r="N21" s="3">
        <v>1</v>
      </c>
      <c r="O21" s="3">
        <v>1</v>
      </c>
      <c r="P21" s="3">
        <v>2</v>
      </c>
      <c r="Q21" s="3">
        <v>4</v>
      </c>
      <c r="R21" s="3">
        <v>4</v>
      </c>
      <c r="S21" s="3">
        <v>5</v>
      </c>
      <c r="T21" s="3">
        <v>1</v>
      </c>
      <c r="U21" s="3">
        <v>2</v>
      </c>
      <c r="V21" t="s">
        <v>639</v>
      </c>
      <c r="W21" t="s">
        <v>644</v>
      </c>
      <c r="X21" t="s">
        <v>646</v>
      </c>
      <c r="Y21" t="s">
        <v>652</v>
      </c>
      <c r="Z21" t="s">
        <v>654</v>
      </c>
      <c r="AA21" s="3">
        <v>18</v>
      </c>
      <c r="AB21">
        <v>1</v>
      </c>
      <c r="AC21" s="3">
        <v>2</v>
      </c>
      <c r="AD21" t="s">
        <v>657</v>
      </c>
      <c r="AE21" s="3">
        <f>IF(AE23, 1.25, 1)</f>
        <v>1.25</v>
      </c>
      <c r="AF21" s="3">
        <f>AVERAGE(E21:U21)</f>
        <v>3.4375</v>
      </c>
      <c r="AG21" s="3">
        <f>AVERAGEIF($C:$C, C21, $AE:$AE)</f>
        <v>1.2450000000000001</v>
      </c>
      <c r="AH21" s="3">
        <f t="shared" si="1"/>
        <v>2.1924999999999999</v>
      </c>
      <c r="AI21" s="3">
        <f>IF(Table1[[#This Row],[Attendance Bracket]]="&gt;75%", 1, IF(Table1[[#This Row],[Attendance Bracket]]="50-75%", 0.8, 0.6))</f>
        <v>0.6</v>
      </c>
      <c r="AJ21" s="3">
        <v>2</v>
      </c>
      <c r="AK21" s="3" t="s">
        <v>684</v>
      </c>
      <c r="AL21" s="3">
        <f>VLOOKUP(C21,Table14[[#All],[Department]:[Publication_count]], 2, FALSE)</f>
        <v>3</v>
      </c>
      <c r="AM21" s="3">
        <v>4.6666666670000003</v>
      </c>
      <c r="AN21" s="3">
        <v>2.2179487180000002</v>
      </c>
    </row>
    <row r="22" spans="1:40" x14ac:dyDescent="0.25">
      <c r="A22" t="s">
        <v>47</v>
      </c>
      <c r="B22" t="s">
        <v>347</v>
      </c>
      <c r="C22" t="s">
        <v>627</v>
      </c>
      <c r="D22" s="5" t="s">
        <v>660</v>
      </c>
      <c r="E22" s="3">
        <v>4</v>
      </c>
      <c r="F22" s="3">
        <v>3</v>
      </c>
      <c r="G22" s="3">
        <v>4</v>
      </c>
      <c r="H22" s="3">
        <v>5</v>
      </c>
      <c r="I22" s="3">
        <v>5</v>
      </c>
      <c r="J22" s="3">
        <v>5</v>
      </c>
      <c r="K22" t="s">
        <v>632</v>
      </c>
      <c r="L22" s="3">
        <f t="shared" si="0"/>
        <v>1</v>
      </c>
      <c r="M22" s="3">
        <v>2</v>
      </c>
      <c r="N22" s="3">
        <v>3</v>
      </c>
      <c r="O22" s="3">
        <v>5</v>
      </c>
      <c r="P22" s="3">
        <v>3</v>
      </c>
      <c r="Q22" s="3">
        <v>4</v>
      </c>
      <c r="R22" s="3">
        <v>1</v>
      </c>
      <c r="S22" s="3">
        <v>5</v>
      </c>
      <c r="T22" s="3">
        <v>1</v>
      </c>
      <c r="U22" s="3">
        <v>1</v>
      </c>
      <c r="V22" t="s">
        <v>637</v>
      </c>
      <c r="W22" t="s">
        <v>642</v>
      </c>
      <c r="X22" t="s">
        <v>647</v>
      </c>
      <c r="Y22" t="s">
        <v>652</v>
      </c>
      <c r="Z22" t="s">
        <v>655</v>
      </c>
      <c r="AA22" s="3">
        <v>17</v>
      </c>
      <c r="AB22">
        <v>0</v>
      </c>
      <c r="AC22" s="3">
        <v>4</v>
      </c>
      <c r="AD22" t="s">
        <v>657</v>
      </c>
      <c r="AE22" s="3">
        <f>IF(AE24, 1.25, 1)</f>
        <v>1.25</v>
      </c>
      <c r="AF22" s="3">
        <f>AVERAGE(E22:U22)</f>
        <v>3.25</v>
      </c>
      <c r="AG22" s="3">
        <f>AVERAGEIF($C:$C, C22, $AE:$AE)</f>
        <v>1.25</v>
      </c>
      <c r="AH22" s="3">
        <f t="shared" si="1"/>
        <v>2</v>
      </c>
      <c r="AI22" s="3">
        <f>IF(Table1[[#This Row],[Attendance Bracket]]="&gt;75%", 1, IF(Table1[[#This Row],[Attendance Bracket]]="50-75%", 0.8, 0.6))</f>
        <v>0.6</v>
      </c>
      <c r="AJ22" s="3">
        <v>1</v>
      </c>
      <c r="AK22" s="3" t="s">
        <v>684</v>
      </c>
      <c r="AL22" s="3">
        <f>VLOOKUP(C22,Table14[[#All],[Department]:[Publication_count]], 2, FALSE)</f>
        <v>5</v>
      </c>
      <c r="AM22" s="3">
        <v>6.3333333329999997</v>
      </c>
      <c r="AN22" s="3">
        <v>2.4743589739999998</v>
      </c>
    </row>
    <row r="23" spans="1:40" x14ac:dyDescent="0.25">
      <c r="A23" t="s">
        <v>48</v>
      </c>
      <c r="B23" t="s">
        <v>348</v>
      </c>
      <c r="C23" t="s">
        <v>627</v>
      </c>
      <c r="D23" s="5" t="s">
        <v>660</v>
      </c>
      <c r="E23" s="3">
        <v>2</v>
      </c>
      <c r="F23" s="3">
        <v>5</v>
      </c>
      <c r="G23" s="3">
        <v>1</v>
      </c>
      <c r="H23" s="3">
        <v>2</v>
      </c>
      <c r="I23" s="3">
        <v>3</v>
      </c>
      <c r="J23" s="3">
        <v>2</v>
      </c>
      <c r="K23" t="s">
        <v>633</v>
      </c>
      <c r="L23" s="3">
        <f t="shared" si="0"/>
        <v>2</v>
      </c>
      <c r="M23" s="3">
        <v>1</v>
      </c>
      <c r="N23" s="3">
        <v>5</v>
      </c>
      <c r="O23" s="3">
        <v>4</v>
      </c>
      <c r="P23" s="3">
        <v>5</v>
      </c>
      <c r="Q23" s="3">
        <v>5</v>
      </c>
      <c r="R23" s="3">
        <v>4</v>
      </c>
      <c r="S23" s="3">
        <v>3</v>
      </c>
      <c r="T23" s="3">
        <v>1</v>
      </c>
      <c r="U23" s="3">
        <v>5</v>
      </c>
      <c r="V23" t="s">
        <v>636</v>
      </c>
      <c r="W23" t="s">
        <v>641</v>
      </c>
      <c r="X23" t="s">
        <v>646</v>
      </c>
      <c r="Y23" t="s">
        <v>653</v>
      </c>
      <c r="Z23" t="s">
        <v>656</v>
      </c>
      <c r="AA23" s="4">
        <v>5</v>
      </c>
      <c r="AB23">
        <v>1</v>
      </c>
      <c r="AC23" s="3">
        <v>1</v>
      </c>
      <c r="AD23" t="s">
        <v>657</v>
      </c>
      <c r="AE23" s="3">
        <f t="shared" si="2"/>
        <v>1.25</v>
      </c>
      <c r="AF23" s="3">
        <f>AVERAGE(E23:U23)</f>
        <v>3.125</v>
      </c>
      <c r="AG23" s="3">
        <f>AVERAGEIF($C:$C, C23, $AE:$AE)</f>
        <v>1.25</v>
      </c>
      <c r="AH23" s="3">
        <f t="shared" si="1"/>
        <v>1.875</v>
      </c>
      <c r="AI23" s="3">
        <f>IF(Table1[[#This Row],[Attendance Bracket]]="&gt;75%", 1, IF(Table1[[#This Row],[Attendance Bracket]]="50-75%", 0.8, 0.6))</f>
        <v>1</v>
      </c>
      <c r="AJ23" s="3">
        <v>2</v>
      </c>
      <c r="AK23" s="3" t="s">
        <v>684</v>
      </c>
      <c r="AL23" s="3">
        <f>VLOOKUP(C23,Table14[[#All],[Department]:[Publication_count]], 2, FALSE)</f>
        <v>5</v>
      </c>
      <c r="AM23" s="3">
        <v>6.3333333329999997</v>
      </c>
      <c r="AN23" s="3">
        <v>3.4743589739999998</v>
      </c>
    </row>
    <row r="24" spans="1:40" x14ac:dyDescent="0.25">
      <c r="A24" t="s">
        <v>49</v>
      </c>
      <c r="B24" t="s">
        <v>349</v>
      </c>
      <c r="C24" t="s">
        <v>628</v>
      </c>
      <c r="D24" s="5" t="s">
        <v>659</v>
      </c>
      <c r="E24" s="3">
        <v>1</v>
      </c>
      <c r="F24" s="3">
        <v>5</v>
      </c>
      <c r="G24" s="3">
        <v>5</v>
      </c>
      <c r="H24" s="3">
        <v>1</v>
      </c>
      <c r="I24" s="3">
        <v>1</v>
      </c>
      <c r="J24" s="3">
        <v>3</v>
      </c>
      <c r="K24" t="s">
        <v>635</v>
      </c>
      <c r="L24" s="3">
        <f t="shared" si="0"/>
        <v>5</v>
      </c>
      <c r="M24" s="3">
        <v>1</v>
      </c>
      <c r="N24" s="3">
        <v>4</v>
      </c>
      <c r="O24" s="3">
        <v>5</v>
      </c>
      <c r="P24" s="3">
        <v>3</v>
      </c>
      <c r="Q24" s="3">
        <v>2</v>
      </c>
      <c r="R24" s="3">
        <v>2</v>
      </c>
      <c r="S24" s="3">
        <v>5</v>
      </c>
      <c r="T24" s="3">
        <v>5</v>
      </c>
      <c r="U24" s="3">
        <v>1</v>
      </c>
      <c r="V24" t="s">
        <v>640</v>
      </c>
      <c r="W24" t="s">
        <v>642</v>
      </c>
      <c r="X24" t="s">
        <v>650</v>
      </c>
      <c r="Y24" t="s">
        <v>651</v>
      </c>
      <c r="Z24" t="s">
        <v>656</v>
      </c>
      <c r="AA24" s="3">
        <v>17</v>
      </c>
      <c r="AB24">
        <v>1</v>
      </c>
      <c r="AC24" s="3">
        <v>1</v>
      </c>
      <c r="AD24" t="s">
        <v>657</v>
      </c>
      <c r="AE24" s="3">
        <f t="shared" si="2"/>
        <v>1.25</v>
      </c>
      <c r="AF24" s="3">
        <f>AVERAGE(E24:U24)</f>
        <v>3.0625</v>
      </c>
      <c r="AG24" s="3">
        <f>AVERAGEIF($C:$C, C24, $AE:$AE)</f>
        <v>1.25</v>
      </c>
      <c r="AH24" s="3">
        <f t="shared" si="1"/>
        <v>1.8125</v>
      </c>
      <c r="AI24" s="3">
        <f>IF(Table1[[#This Row],[Attendance Bracket]]="&gt;75%", 1, IF(Table1[[#This Row],[Attendance Bracket]]="50-75%", 0.8, 0.6))</f>
        <v>0.8</v>
      </c>
      <c r="AJ24" s="3">
        <v>1</v>
      </c>
      <c r="AK24" s="3" t="s">
        <v>684</v>
      </c>
      <c r="AL24" s="3">
        <f>VLOOKUP(C24,Table14[[#All],[Department]:[Publication_count]], 2, FALSE)</f>
        <v>12</v>
      </c>
      <c r="AM24" s="3">
        <v>16.25</v>
      </c>
      <c r="AN24" s="3">
        <v>5</v>
      </c>
    </row>
    <row r="25" spans="1:40" x14ac:dyDescent="0.25">
      <c r="A25" t="s">
        <v>50</v>
      </c>
      <c r="B25" t="s">
        <v>350</v>
      </c>
      <c r="C25" t="s">
        <v>627</v>
      </c>
      <c r="D25" s="5" t="s">
        <v>659</v>
      </c>
      <c r="E25" s="3">
        <v>1</v>
      </c>
      <c r="F25" s="3">
        <v>3</v>
      </c>
      <c r="G25" s="3">
        <v>1</v>
      </c>
      <c r="H25" s="3">
        <v>5</v>
      </c>
      <c r="I25" s="3">
        <v>5</v>
      </c>
      <c r="J25" s="3">
        <v>4</v>
      </c>
      <c r="K25" t="s">
        <v>631</v>
      </c>
      <c r="L25" s="3">
        <f t="shared" si="0"/>
        <v>4</v>
      </c>
      <c r="M25" s="3">
        <v>2</v>
      </c>
      <c r="N25" s="3">
        <v>2</v>
      </c>
      <c r="O25" s="3">
        <v>2</v>
      </c>
      <c r="P25" s="3">
        <v>1</v>
      </c>
      <c r="Q25" s="3">
        <v>5</v>
      </c>
      <c r="R25" s="3">
        <v>4</v>
      </c>
      <c r="S25" s="3">
        <v>3</v>
      </c>
      <c r="T25" s="3">
        <v>2</v>
      </c>
      <c r="U25" s="3">
        <v>3</v>
      </c>
      <c r="V25" t="s">
        <v>640</v>
      </c>
      <c r="W25" t="s">
        <v>645</v>
      </c>
      <c r="X25" t="s">
        <v>648</v>
      </c>
      <c r="Y25" t="s">
        <v>651</v>
      </c>
      <c r="Z25" t="s">
        <v>655</v>
      </c>
      <c r="AA25" s="3">
        <v>9</v>
      </c>
      <c r="AB25">
        <v>1</v>
      </c>
      <c r="AC25" s="3">
        <v>5</v>
      </c>
      <c r="AD25" t="s">
        <v>657</v>
      </c>
      <c r="AE25" s="3">
        <f>IF(AE27, 1.25, 1)</f>
        <v>1.25</v>
      </c>
      <c r="AF25" s="3">
        <f>AVERAGE(E25:U25)</f>
        <v>2.9375</v>
      </c>
      <c r="AG25" s="3">
        <f>AVERAGEIF($C:$C, C25, $AE:$AE)</f>
        <v>1.25</v>
      </c>
      <c r="AH25" s="3">
        <f t="shared" si="1"/>
        <v>1.6875</v>
      </c>
      <c r="AI25" s="3">
        <f>IF(Table1[[#This Row],[Attendance Bracket]]="&gt;75%", 1, IF(Table1[[#This Row],[Attendance Bracket]]="50-75%", 0.8, 0.6))</f>
        <v>0.8</v>
      </c>
      <c r="AJ25" s="3">
        <v>3</v>
      </c>
      <c r="AK25" s="3" t="s">
        <v>634</v>
      </c>
      <c r="AL25" s="3">
        <f>VLOOKUP(C25,Table14[[#All],[Department]:[Publication_count]], 2, FALSE)</f>
        <v>5</v>
      </c>
      <c r="AM25" s="3">
        <v>6.3333333329999997</v>
      </c>
      <c r="AN25" s="3">
        <v>2.4743589739999998</v>
      </c>
    </row>
    <row r="26" spans="1:40" x14ac:dyDescent="0.25">
      <c r="A26" t="s">
        <v>51</v>
      </c>
      <c r="B26" t="s">
        <v>351</v>
      </c>
      <c r="C26" t="s">
        <v>628</v>
      </c>
      <c r="D26" s="5" t="s">
        <v>659</v>
      </c>
      <c r="E26" s="3">
        <v>4</v>
      </c>
      <c r="F26" s="3">
        <v>3</v>
      </c>
      <c r="G26" s="3">
        <v>2</v>
      </c>
      <c r="H26" s="3">
        <v>4</v>
      </c>
      <c r="I26" s="3">
        <v>1</v>
      </c>
      <c r="J26" s="3">
        <v>1</v>
      </c>
      <c r="K26" t="s">
        <v>632</v>
      </c>
      <c r="L26" s="3">
        <f t="shared" si="0"/>
        <v>1</v>
      </c>
      <c r="M26" s="3">
        <v>5</v>
      </c>
      <c r="N26" s="3">
        <v>1</v>
      </c>
      <c r="O26" s="3">
        <v>2</v>
      </c>
      <c r="P26" s="3">
        <v>2</v>
      </c>
      <c r="Q26" s="3">
        <v>4</v>
      </c>
      <c r="R26" s="3">
        <v>2</v>
      </c>
      <c r="S26" s="3">
        <v>5</v>
      </c>
      <c r="T26" s="3">
        <v>4</v>
      </c>
      <c r="U26" s="3">
        <v>1</v>
      </c>
      <c r="V26" t="s">
        <v>640</v>
      </c>
      <c r="W26" t="s">
        <v>645</v>
      </c>
      <c r="X26" t="s">
        <v>650</v>
      </c>
      <c r="Y26" t="s">
        <v>653</v>
      </c>
      <c r="Z26" t="s">
        <v>656</v>
      </c>
      <c r="AA26" s="3">
        <v>15</v>
      </c>
      <c r="AB26">
        <v>1</v>
      </c>
      <c r="AC26" s="3">
        <v>1</v>
      </c>
      <c r="AD26" t="s">
        <v>657</v>
      </c>
      <c r="AE26" s="3">
        <f>IF(AE28, 1.25, 1)</f>
        <v>1.25</v>
      </c>
      <c r="AF26" s="3">
        <f>AVERAGE(E26:U26)</f>
        <v>2.625</v>
      </c>
      <c r="AG26" s="3">
        <f>AVERAGEIF($C:$C, C26, $AE:$AE)</f>
        <v>1.25</v>
      </c>
      <c r="AH26" s="3">
        <f t="shared" si="1"/>
        <v>1.375</v>
      </c>
      <c r="AI26" s="3">
        <f>IF(Table1[[#This Row],[Attendance Bracket]]="&gt;75%", 1, IF(Table1[[#This Row],[Attendance Bracket]]="50-75%", 0.8, 0.6))</f>
        <v>1</v>
      </c>
      <c r="AJ26" s="3">
        <v>3</v>
      </c>
      <c r="AK26" s="3" t="s">
        <v>634</v>
      </c>
      <c r="AL26" s="3">
        <f>VLOOKUP(C26,Table14[[#All],[Department]:[Publication_count]], 2, FALSE)</f>
        <v>12</v>
      </c>
      <c r="AM26" s="3">
        <v>16.25</v>
      </c>
      <c r="AN26" s="3">
        <v>4</v>
      </c>
    </row>
    <row r="27" spans="1:40" x14ac:dyDescent="0.25">
      <c r="A27" t="s">
        <v>52</v>
      </c>
      <c r="B27" t="s">
        <v>352</v>
      </c>
      <c r="C27" t="s">
        <v>627</v>
      </c>
      <c r="D27" s="5" t="s">
        <v>630</v>
      </c>
      <c r="E27" s="3">
        <v>2</v>
      </c>
      <c r="F27" s="3">
        <v>4</v>
      </c>
      <c r="G27" s="3">
        <v>3</v>
      </c>
      <c r="H27" s="3">
        <v>4</v>
      </c>
      <c r="I27" s="3">
        <v>2</v>
      </c>
      <c r="J27" s="3">
        <v>3</v>
      </c>
      <c r="K27" t="s">
        <v>633</v>
      </c>
      <c r="L27" s="3">
        <f t="shared" si="0"/>
        <v>2</v>
      </c>
      <c r="M27" s="3">
        <v>2</v>
      </c>
      <c r="N27" s="3">
        <v>5</v>
      </c>
      <c r="O27" s="3">
        <v>4</v>
      </c>
      <c r="P27" s="3">
        <v>4</v>
      </c>
      <c r="Q27" s="3">
        <v>3</v>
      </c>
      <c r="R27" s="3">
        <v>2</v>
      </c>
      <c r="S27" s="3">
        <v>4</v>
      </c>
      <c r="T27" s="3">
        <v>2</v>
      </c>
      <c r="U27" s="3">
        <v>3</v>
      </c>
      <c r="V27" t="s">
        <v>639</v>
      </c>
      <c r="W27" t="s">
        <v>643</v>
      </c>
      <c r="X27" t="s">
        <v>648</v>
      </c>
      <c r="Y27" t="s">
        <v>653</v>
      </c>
      <c r="Z27" t="s">
        <v>656</v>
      </c>
      <c r="AA27" s="4">
        <v>5</v>
      </c>
      <c r="AB27">
        <v>0</v>
      </c>
      <c r="AC27" s="3">
        <v>1</v>
      </c>
      <c r="AD27" t="s">
        <v>657</v>
      </c>
      <c r="AE27" s="3">
        <f t="shared" si="2"/>
        <v>1.25</v>
      </c>
      <c r="AF27" s="3">
        <f>AVERAGE(E27:U27)</f>
        <v>3.0625</v>
      </c>
      <c r="AG27" s="3">
        <f>AVERAGEIF($C:$C, C27, $AE:$AE)</f>
        <v>1.25</v>
      </c>
      <c r="AH27" s="3">
        <f t="shared" si="1"/>
        <v>1.8125</v>
      </c>
      <c r="AI27" s="3">
        <f>IF(Table1[[#This Row],[Attendance Bracket]]="&gt;75%", 1, IF(Table1[[#This Row],[Attendance Bracket]]="50-75%", 0.8, 0.6))</f>
        <v>1</v>
      </c>
      <c r="AJ27" s="3">
        <v>2</v>
      </c>
      <c r="AK27" s="3" t="s">
        <v>684</v>
      </c>
      <c r="AL27" s="3">
        <f>VLOOKUP(C27,Table14[[#All],[Department]:[Publication_count]], 2, FALSE)</f>
        <v>5</v>
      </c>
      <c r="AM27" s="3">
        <v>6.3333333329999997</v>
      </c>
      <c r="AN27" s="3">
        <v>2.9743589739999998</v>
      </c>
    </row>
    <row r="28" spans="1:40" x14ac:dyDescent="0.25">
      <c r="A28" t="s">
        <v>53</v>
      </c>
      <c r="B28" t="s">
        <v>353</v>
      </c>
      <c r="C28" t="s">
        <v>627</v>
      </c>
      <c r="D28" s="5" t="s">
        <v>660</v>
      </c>
      <c r="E28" s="3">
        <v>3</v>
      </c>
      <c r="F28" s="3">
        <v>3</v>
      </c>
      <c r="G28" s="3">
        <v>3</v>
      </c>
      <c r="H28" s="3">
        <v>2</v>
      </c>
      <c r="I28" s="3">
        <v>3</v>
      </c>
      <c r="J28" s="3">
        <v>4</v>
      </c>
      <c r="K28" t="s">
        <v>631</v>
      </c>
      <c r="L28" s="3">
        <f t="shared" si="0"/>
        <v>4</v>
      </c>
      <c r="M28" s="3">
        <v>3</v>
      </c>
      <c r="N28" s="3">
        <v>3</v>
      </c>
      <c r="O28" s="3">
        <v>4</v>
      </c>
      <c r="P28" s="3">
        <v>5</v>
      </c>
      <c r="Q28" s="3">
        <v>4</v>
      </c>
      <c r="R28" s="3">
        <v>5</v>
      </c>
      <c r="S28" s="3">
        <v>2</v>
      </c>
      <c r="T28" s="3">
        <v>3</v>
      </c>
      <c r="U28" s="3">
        <v>2</v>
      </c>
      <c r="V28" t="s">
        <v>636</v>
      </c>
      <c r="W28" t="s">
        <v>645</v>
      </c>
      <c r="X28" t="s">
        <v>649</v>
      </c>
      <c r="Y28" t="s">
        <v>653</v>
      </c>
      <c r="Z28" t="s">
        <v>655</v>
      </c>
      <c r="AA28" s="3">
        <v>17</v>
      </c>
      <c r="AB28">
        <v>1</v>
      </c>
      <c r="AC28" s="3">
        <v>1</v>
      </c>
      <c r="AD28" t="s">
        <v>657</v>
      </c>
      <c r="AE28" s="3">
        <f t="shared" si="2"/>
        <v>1.25</v>
      </c>
      <c r="AF28" s="3">
        <f>AVERAGE(E28:U28)</f>
        <v>3.3125</v>
      </c>
      <c r="AG28" s="3">
        <f>AVERAGEIF($C:$C, C28, $AE:$AE)</f>
        <v>1.25</v>
      </c>
      <c r="AH28" s="3">
        <f t="shared" si="1"/>
        <v>2.0625</v>
      </c>
      <c r="AI28" s="3">
        <f>IF(Table1[[#This Row],[Attendance Bracket]]="&gt;75%", 1, IF(Table1[[#This Row],[Attendance Bracket]]="50-75%", 0.8, 0.6))</f>
        <v>1</v>
      </c>
      <c r="AJ28" s="3">
        <v>3</v>
      </c>
      <c r="AK28" s="3" t="s">
        <v>634</v>
      </c>
      <c r="AL28" s="3">
        <f>VLOOKUP(C28,Table14[[#All],[Department]:[Publication_count]], 2, FALSE)</f>
        <v>5</v>
      </c>
      <c r="AM28" s="3">
        <v>6.3333333329999997</v>
      </c>
      <c r="AN28" s="3">
        <v>2.4743589739999998</v>
      </c>
    </row>
    <row r="29" spans="1:40" x14ac:dyDescent="0.25">
      <c r="A29" t="s">
        <v>54</v>
      </c>
      <c r="B29" t="s">
        <v>354</v>
      </c>
      <c r="C29" t="s">
        <v>629</v>
      </c>
      <c r="D29" s="5" t="s">
        <v>660</v>
      </c>
      <c r="E29" s="3">
        <v>3</v>
      </c>
      <c r="F29" s="3">
        <v>5</v>
      </c>
      <c r="G29" s="3">
        <v>5</v>
      </c>
      <c r="H29" s="3">
        <v>2</v>
      </c>
      <c r="I29" s="3">
        <v>2</v>
      </c>
      <c r="J29" s="3">
        <v>4</v>
      </c>
      <c r="K29" t="s">
        <v>632</v>
      </c>
      <c r="L29" s="3">
        <f t="shared" si="0"/>
        <v>1</v>
      </c>
      <c r="M29" s="3">
        <v>3</v>
      </c>
      <c r="N29" s="3">
        <v>3</v>
      </c>
      <c r="O29" s="3">
        <v>2</v>
      </c>
      <c r="P29" s="3">
        <v>2</v>
      </c>
      <c r="Q29" s="3">
        <v>3</v>
      </c>
      <c r="R29" s="3">
        <v>5</v>
      </c>
      <c r="S29" s="3">
        <v>1</v>
      </c>
      <c r="T29" s="3">
        <v>5</v>
      </c>
      <c r="U29" s="3">
        <v>5</v>
      </c>
      <c r="V29" t="s">
        <v>636</v>
      </c>
      <c r="W29" t="s">
        <v>642</v>
      </c>
      <c r="X29" t="s">
        <v>647</v>
      </c>
      <c r="Y29" t="s">
        <v>651</v>
      </c>
      <c r="Z29" t="s">
        <v>654</v>
      </c>
      <c r="AA29" s="3">
        <v>18</v>
      </c>
      <c r="AB29">
        <v>0</v>
      </c>
      <c r="AC29" s="3">
        <v>3</v>
      </c>
      <c r="AD29" t="s">
        <v>657</v>
      </c>
      <c r="AE29" s="3">
        <f t="shared" si="2"/>
        <v>1.25</v>
      </c>
      <c r="AF29" s="3">
        <f>AVERAGE(E29:U29)</f>
        <v>3.1875</v>
      </c>
      <c r="AG29" s="3">
        <f>AVERAGEIF($C:$C, C29, $AE:$AE)</f>
        <v>1.2450000000000001</v>
      </c>
      <c r="AH29" s="3">
        <f t="shared" si="1"/>
        <v>1.9424999999999999</v>
      </c>
      <c r="AI29" s="3">
        <f>IF(Table1[[#This Row],[Attendance Bracket]]="&gt;75%", 1, IF(Table1[[#This Row],[Attendance Bracket]]="50-75%", 0.8, 0.6))</f>
        <v>0.8</v>
      </c>
      <c r="AJ29" s="3">
        <v>1</v>
      </c>
      <c r="AK29" s="3" t="s">
        <v>684</v>
      </c>
      <c r="AL29" s="3">
        <f>VLOOKUP(C29,Table14[[#All],[Department]:[Publication_count]], 2, FALSE)</f>
        <v>3</v>
      </c>
      <c r="AM29" s="3">
        <v>4.6666666670000003</v>
      </c>
      <c r="AN29" s="3">
        <v>3.2179487180000002</v>
      </c>
    </row>
    <row r="30" spans="1:40" x14ac:dyDescent="0.25">
      <c r="A30" t="s">
        <v>55</v>
      </c>
      <c r="B30" t="s">
        <v>355</v>
      </c>
      <c r="C30" t="s">
        <v>627</v>
      </c>
      <c r="D30" s="5" t="s">
        <v>660</v>
      </c>
      <c r="E30" s="3">
        <v>5</v>
      </c>
      <c r="F30" s="3">
        <v>4</v>
      </c>
      <c r="G30" s="3">
        <v>2</v>
      </c>
      <c r="H30" s="3">
        <v>4</v>
      </c>
      <c r="I30" s="3">
        <v>5</v>
      </c>
      <c r="J30" s="3">
        <v>5</v>
      </c>
      <c r="K30" t="s">
        <v>634</v>
      </c>
      <c r="L30" s="3">
        <f t="shared" si="0"/>
        <v>3</v>
      </c>
      <c r="M30" s="3">
        <v>3</v>
      </c>
      <c r="N30" s="3">
        <v>1</v>
      </c>
      <c r="O30" s="3">
        <v>3</v>
      </c>
      <c r="P30" s="3">
        <v>2</v>
      </c>
      <c r="Q30" s="3">
        <v>3</v>
      </c>
      <c r="R30" s="3">
        <v>2</v>
      </c>
      <c r="S30" s="3">
        <v>3</v>
      </c>
      <c r="T30" s="3">
        <v>3</v>
      </c>
      <c r="U30" s="3">
        <v>4</v>
      </c>
      <c r="V30" t="s">
        <v>638</v>
      </c>
      <c r="W30" t="s">
        <v>642</v>
      </c>
      <c r="X30" t="s">
        <v>648</v>
      </c>
      <c r="Y30" t="s">
        <v>651</v>
      </c>
      <c r="Z30" t="s">
        <v>655</v>
      </c>
      <c r="AA30" s="3">
        <v>7</v>
      </c>
      <c r="AB30">
        <v>1</v>
      </c>
      <c r="AC30" s="3">
        <v>5</v>
      </c>
      <c r="AD30" t="s">
        <v>657</v>
      </c>
      <c r="AE30" s="3">
        <f t="shared" si="2"/>
        <v>1.25</v>
      </c>
      <c r="AF30" s="3">
        <f>AVERAGE(E30:U30)</f>
        <v>3.25</v>
      </c>
      <c r="AG30" s="3">
        <f>AVERAGEIF($C:$C, C30, $AE:$AE)</f>
        <v>1.25</v>
      </c>
      <c r="AH30" s="3">
        <f t="shared" si="1"/>
        <v>2</v>
      </c>
      <c r="AI30" s="3">
        <f>IF(Table1[[#This Row],[Attendance Bracket]]="&gt;75%", 1, IF(Table1[[#This Row],[Attendance Bracket]]="50-75%", 0.8, 0.6))</f>
        <v>0.8</v>
      </c>
      <c r="AJ30" s="3">
        <v>1</v>
      </c>
      <c r="AK30" s="3" t="s">
        <v>684</v>
      </c>
      <c r="AL30" s="3">
        <f>VLOOKUP(C30,Table14[[#All],[Department]:[Publication_count]], 2, FALSE)</f>
        <v>5</v>
      </c>
      <c r="AM30" s="3">
        <v>6.3333333329999997</v>
      </c>
      <c r="AN30" s="3">
        <v>2.9743589739999998</v>
      </c>
    </row>
    <row r="31" spans="1:40" x14ac:dyDescent="0.25">
      <c r="A31" t="s">
        <v>56</v>
      </c>
      <c r="B31" t="s">
        <v>356</v>
      </c>
      <c r="C31" t="s">
        <v>629</v>
      </c>
      <c r="D31" s="5" t="s">
        <v>659</v>
      </c>
      <c r="E31" s="3">
        <v>2</v>
      </c>
      <c r="F31" s="3">
        <v>1</v>
      </c>
      <c r="G31" s="3">
        <v>5</v>
      </c>
      <c r="H31" s="3">
        <v>2</v>
      </c>
      <c r="I31" s="3">
        <v>5</v>
      </c>
      <c r="J31" s="3">
        <v>3</v>
      </c>
      <c r="K31" t="s">
        <v>634</v>
      </c>
      <c r="L31" s="3">
        <f t="shared" si="0"/>
        <v>3</v>
      </c>
      <c r="M31" s="3">
        <v>5</v>
      </c>
      <c r="N31" s="3">
        <v>4</v>
      </c>
      <c r="O31" s="3">
        <v>4</v>
      </c>
      <c r="P31" s="3">
        <v>2</v>
      </c>
      <c r="Q31" s="3">
        <v>1</v>
      </c>
      <c r="R31" s="3">
        <v>1</v>
      </c>
      <c r="S31" s="3">
        <v>2</v>
      </c>
      <c r="T31" s="3">
        <v>1</v>
      </c>
      <c r="U31" s="3">
        <v>4</v>
      </c>
      <c r="V31" t="s">
        <v>640</v>
      </c>
      <c r="W31" t="s">
        <v>642</v>
      </c>
      <c r="X31" t="s">
        <v>650</v>
      </c>
      <c r="Y31" t="s">
        <v>651</v>
      </c>
      <c r="Z31" t="s">
        <v>655</v>
      </c>
      <c r="AA31" s="3">
        <v>16</v>
      </c>
      <c r="AB31">
        <v>1</v>
      </c>
      <c r="AC31" s="3">
        <v>3</v>
      </c>
      <c r="AD31" t="s">
        <v>657</v>
      </c>
      <c r="AE31" s="3">
        <f t="shared" si="2"/>
        <v>1.25</v>
      </c>
      <c r="AF31" s="3">
        <f>AVERAGE(E31:U31)</f>
        <v>2.8125</v>
      </c>
      <c r="AG31" s="3">
        <f>AVERAGEIF($C:$C, C31, $AE:$AE)</f>
        <v>1.2450000000000001</v>
      </c>
      <c r="AH31" s="3">
        <f t="shared" si="1"/>
        <v>1.5674999999999999</v>
      </c>
      <c r="AI31" s="3">
        <f>IF(Table1[[#This Row],[Attendance Bracket]]="&gt;75%", 1, IF(Table1[[#This Row],[Attendance Bracket]]="50-75%", 0.8, 0.6))</f>
        <v>0.8</v>
      </c>
      <c r="AJ31" s="3">
        <v>1</v>
      </c>
      <c r="AK31" s="3" t="s">
        <v>684</v>
      </c>
      <c r="AL31" s="3">
        <f>VLOOKUP(C31,Table14[[#All],[Department]:[Publication_count]], 2, FALSE)</f>
        <v>3</v>
      </c>
      <c r="AM31" s="3">
        <v>4.6666666670000003</v>
      </c>
      <c r="AN31" s="3">
        <v>1.2179487179999999</v>
      </c>
    </row>
    <row r="32" spans="1:40" x14ac:dyDescent="0.25">
      <c r="A32" t="s">
        <v>57</v>
      </c>
      <c r="B32" t="s">
        <v>357</v>
      </c>
      <c r="C32" t="s">
        <v>629</v>
      </c>
      <c r="D32" s="5" t="s">
        <v>659</v>
      </c>
      <c r="E32" s="3">
        <v>4</v>
      </c>
      <c r="F32" s="3">
        <v>5</v>
      </c>
      <c r="G32" s="3">
        <v>2</v>
      </c>
      <c r="H32" s="3">
        <v>2</v>
      </c>
      <c r="I32" s="3">
        <v>2</v>
      </c>
      <c r="J32" s="3">
        <v>2</v>
      </c>
      <c r="K32" t="s">
        <v>632</v>
      </c>
      <c r="L32" s="3">
        <f t="shared" si="0"/>
        <v>1</v>
      </c>
      <c r="M32" s="3">
        <v>3</v>
      </c>
      <c r="N32" s="3">
        <v>5</v>
      </c>
      <c r="O32" s="3">
        <v>2</v>
      </c>
      <c r="P32" s="3">
        <v>1</v>
      </c>
      <c r="Q32" s="3">
        <v>1</v>
      </c>
      <c r="R32" s="3">
        <v>2</v>
      </c>
      <c r="S32" s="3">
        <v>2</v>
      </c>
      <c r="T32" s="3">
        <v>5</v>
      </c>
      <c r="U32" s="3">
        <v>3</v>
      </c>
      <c r="V32" t="s">
        <v>640</v>
      </c>
      <c r="W32" t="s">
        <v>645</v>
      </c>
      <c r="X32" t="s">
        <v>648</v>
      </c>
      <c r="Y32" t="s">
        <v>653</v>
      </c>
      <c r="Z32" t="s">
        <v>656</v>
      </c>
      <c r="AA32" s="3">
        <v>19</v>
      </c>
      <c r="AB32">
        <v>1</v>
      </c>
      <c r="AC32" s="3">
        <v>2</v>
      </c>
      <c r="AD32" t="s">
        <v>657</v>
      </c>
      <c r="AE32" s="3">
        <f t="shared" si="2"/>
        <v>1.25</v>
      </c>
      <c r="AF32" s="3">
        <f>AVERAGE(E32:U32)</f>
        <v>2.625</v>
      </c>
      <c r="AG32" s="3">
        <f>AVERAGEIF($C:$C, C32, $AE:$AE)</f>
        <v>1.2450000000000001</v>
      </c>
      <c r="AH32" s="3">
        <f t="shared" si="1"/>
        <v>1.38</v>
      </c>
      <c r="AI32" s="3">
        <f>IF(Table1[[#This Row],[Attendance Bracket]]="&gt;75%", 1, IF(Table1[[#This Row],[Attendance Bracket]]="50-75%", 0.8, 0.6))</f>
        <v>1</v>
      </c>
      <c r="AJ32" s="3">
        <v>3</v>
      </c>
      <c r="AK32" s="3" t="s">
        <v>634</v>
      </c>
      <c r="AL32" s="3">
        <f>VLOOKUP(C32,Table14[[#All],[Department]:[Publication_count]], 2, FALSE)</f>
        <v>3</v>
      </c>
      <c r="AM32" s="3">
        <v>4.6666666670000003</v>
      </c>
      <c r="AN32" s="3">
        <v>3.2179487180000002</v>
      </c>
    </row>
    <row r="33" spans="1:40" x14ac:dyDescent="0.25">
      <c r="A33" t="s">
        <v>58</v>
      </c>
      <c r="B33" t="s">
        <v>358</v>
      </c>
      <c r="C33" t="s">
        <v>628</v>
      </c>
      <c r="D33" s="5" t="s">
        <v>659</v>
      </c>
      <c r="E33" s="3">
        <v>2</v>
      </c>
      <c r="F33" s="3">
        <v>1</v>
      </c>
      <c r="G33" s="3">
        <v>2</v>
      </c>
      <c r="H33" s="3">
        <v>2</v>
      </c>
      <c r="I33" s="3">
        <v>2</v>
      </c>
      <c r="J33" s="3">
        <v>5</v>
      </c>
      <c r="K33" t="s">
        <v>634</v>
      </c>
      <c r="L33" s="3">
        <f t="shared" si="0"/>
        <v>3</v>
      </c>
      <c r="M33" s="3">
        <v>1</v>
      </c>
      <c r="N33" s="3">
        <v>1</v>
      </c>
      <c r="O33" s="3">
        <v>4</v>
      </c>
      <c r="P33" s="3">
        <v>1</v>
      </c>
      <c r="Q33" s="3">
        <v>2</v>
      </c>
      <c r="R33" s="3">
        <v>5</v>
      </c>
      <c r="S33" s="3">
        <v>2</v>
      </c>
      <c r="T33" s="3">
        <v>1</v>
      </c>
      <c r="U33" s="3">
        <v>4</v>
      </c>
      <c r="V33" t="s">
        <v>639</v>
      </c>
      <c r="W33" t="s">
        <v>645</v>
      </c>
      <c r="X33" t="s">
        <v>648</v>
      </c>
      <c r="Y33" t="s">
        <v>653</v>
      </c>
      <c r="Z33" t="s">
        <v>654</v>
      </c>
      <c r="AA33" s="3">
        <v>8</v>
      </c>
      <c r="AB33">
        <v>1</v>
      </c>
      <c r="AC33" s="3">
        <v>4</v>
      </c>
      <c r="AD33" t="s">
        <v>657</v>
      </c>
      <c r="AE33" s="3">
        <f t="shared" si="2"/>
        <v>1.25</v>
      </c>
      <c r="AF33" s="3">
        <f>AVERAGE(E33:U33)</f>
        <v>2.375</v>
      </c>
      <c r="AG33" s="3">
        <f>AVERAGEIF($C:$C, C33, $AE:$AE)</f>
        <v>1.25</v>
      </c>
      <c r="AH33" s="3">
        <f t="shared" si="1"/>
        <v>1.125</v>
      </c>
      <c r="AI33" s="3">
        <f>IF(Table1[[#This Row],[Attendance Bracket]]="&gt;75%", 1, IF(Table1[[#This Row],[Attendance Bracket]]="50-75%", 0.8, 0.6))</f>
        <v>1</v>
      </c>
      <c r="AJ33" s="3">
        <v>3</v>
      </c>
      <c r="AK33" s="3" t="s">
        <v>634</v>
      </c>
      <c r="AL33" s="3">
        <f>VLOOKUP(C33,Table14[[#All],[Department]:[Publication_count]], 2, FALSE)</f>
        <v>12</v>
      </c>
      <c r="AM33" s="3">
        <v>16.25</v>
      </c>
      <c r="AN33" s="3">
        <v>3</v>
      </c>
    </row>
    <row r="34" spans="1:40" x14ac:dyDescent="0.25">
      <c r="A34" t="s">
        <v>59</v>
      </c>
      <c r="B34" t="s">
        <v>359</v>
      </c>
      <c r="C34" t="s">
        <v>627</v>
      </c>
      <c r="D34" s="5" t="s">
        <v>660</v>
      </c>
      <c r="E34" s="3">
        <v>5</v>
      </c>
      <c r="F34" s="3">
        <v>2</v>
      </c>
      <c r="G34" s="3">
        <v>3</v>
      </c>
      <c r="H34" s="3">
        <v>2</v>
      </c>
      <c r="I34" s="3">
        <v>1</v>
      </c>
      <c r="J34" s="3">
        <v>4</v>
      </c>
      <c r="K34" t="s">
        <v>634</v>
      </c>
      <c r="L34" s="3">
        <f t="shared" si="0"/>
        <v>3</v>
      </c>
      <c r="M34" s="3">
        <v>3</v>
      </c>
      <c r="N34" s="3">
        <v>2</v>
      </c>
      <c r="O34" s="3">
        <v>4</v>
      </c>
      <c r="P34" s="3">
        <v>5</v>
      </c>
      <c r="Q34" s="3">
        <v>3</v>
      </c>
      <c r="R34" s="3">
        <v>4</v>
      </c>
      <c r="S34" s="3">
        <v>2</v>
      </c>
      <c r="T34" s="3">
        <v>3</v>
      </c>
      <c r="U34" s="3">
        <v>2</v>
      </c>
      <c r="V34" t="s">
        <v>636</v>
      </c>
      <c r="W34" t="s">
        <v>642</v>
      </c>
      <c r="X34" t="s">
        <v>648</v>
      </c>
      <c r="Y34" t="s">
        <v>651</v>
      </c>
      <c r="Z34" t="s">
        <v>656</v>
      </c>
      <c r="AA34" s="3">
        <v>20</v>
      </c>
      <c r="AB34">
        <v>0</v>
      </c>
      <c r="AC34" s="3">
        <v>5</v>
      </c>
      <c r="AD34" t="s">
        <v>657</v>
      </c>
      <c r="AE34" s="3">
        <f t="shared" si="2"/>
        <v>1.25</v>
      </c>
      <c r="AF34" s="3">
        <f>AVERAGE(E34:U34)</f>
        <v>3</v>
      </c>
      <c r="AG34" s="3">
        <f>AVERAGEIF($C:$C, C34, $AE:$AE)</f>
        <v>1.25</v>
      </c>
      <c r="AH34" s="3">
        <f t="shared" si="1"/>
        <v>1.75</v>
      </c>
      <c r="AI34" s="3">
        <f>IF(Table1[[#This Row],[Attendance Bracket]]="&gt;75%", 1, IF(Table1[[#This Row],[Attendance Bracket]]="50-75%", 0.8, 0.6))</f>
        <v>0.8</v>
      </c>
      <c r="AJ34" s="3">
        <v>1</v>
      </c>
      <c r="AK34" s="3" t="s">
        <v>684</v>
      </c>
      <c r="AL34" s="3">
        <f>VLOOKUP(C34,Table14[[#All],[Department]:[Publication_count]], 2, FALSE)</f>
        <v>5</v>
      </c>
      <c r="AM34" s="3">
        <v>6.3333333329999997</v>
      </c>
      <c r="AN34" s="3">
        <v>1.974358974</v>
      </c>
    </row>
    <row r="35" spans="1:40" x14ac:dyDescent="0.25">
      <c r="A35" t="s">
        <v>60</v>
      </c>
      <c r="B35" t="s">
        <v>360</v>
      </c>
      <c r="C35" t="s">
        <v>629</v>
      </c>
      <c r="D35" s="5" t="s">
        <v>660</v>
      </c>
      <c r="E35" s="3">
        <v>3</v>
      </c>
      <c r="F35" s="3">
        <v>5</v>
      </c>
      <c r="G35" s="3">
        <v>3</v>
      </c>
      <c r="H35" s="3">
        <v>3</v>
      </c>
      <c r="I35" s="3">
        <v>4</v>
      </c>
      <c r="J35" s="3">
        <v>4</v>
      </c>
      <c r="K35" t="s">
        <v>634</v>
      </c>
      <c r="L35" s="3">
        <f t="shared" si="0"/>
        <v>3</v>
      </c>
      <c r="M35" s="3">
        <v>3</v>
      </c>
      <c r="N35" s="3">
        <v>2</v>
      </c>
      <c r="O35" s="3">
        <v>1</v>
      </c>
      <c r="P35" s="3">
        <v>5</v>
      </c>
      <c r="Q35" s="3">
        <v>3</v>
      </c>
      <c r="R35" s="3">
        <v>2</v>
      </c>
      <c r="S35" s="3">
        <v>4</v>
      </c>
      <c r="T35" s="3">
        <v>2</v>
      </c>
      <c r="U35" s="3">
        <v>5</v>
      </c>
      <c r="V35" t="s">
        <v>638</v>
      </c>
      <c r="W35" t="s">
        <v>641</v>
      </c>
      <c r="X35" t="s">
        <v>647</v>
      </c>
      <c r="Y35" t="s">
        <v>652</v>
      </c>
      <c r="Z35" t="s">
        <v>655</v>
      </c>
      <c r="AA35" s="3">
        <v>7</v>
      </c>
      <c r="AB35">
        <v>0</v>
      </c>
      <c r="AC35" s="3">
        <v>5</v>
      </c>
      <c r="AD35" t="s">
        <v>657</v>
      </c>
      <c r="AE35" s="3">
        <f t="shared" si="2"/>
        <v>1.25</v>
      </c>
      <c r="AF35" s="3">
        <f>AVERAGE(E35:U35)</f>
        <v>3.25</v>
      </c>
      <c r="AG35" s="3">
        <f>AVERAGEIF($C:$C, C35, $AE:$AE)</f>
        <v>1.2450000000000001</v>
      </c>
      <c r="AH35" s="3">
        <f t="shared" si="1"/>
        <v>2.0049999999999999</v>
      </c>
      <c r="AI35" s="3">
        <f>IF(Table1[[#This Row],[Attendance Bracket]]="&gt;75%", 1, IF(Table1[[#This Row],[Attendance Bracket]]="50-75%", 0.8, 0.6))</f>
        <v>0.6</v>
      </c>
      <c r="AJ35" s="3">
        <v>2</v>
      </c>
      <c r="AK35" s="3" t="s">
        <v>684</v>
      </c>
      <c r="AL35" s="3">
        <f>VLOOKUP(C35,Table14[[#All],[Department]:[Publication_count]], 2, FALSE)</f>
        <v>3</v>
      </c>
      <c r="AM35" s="3">
        <v>4.6666666670000003</v>
      </c>
      <c r="AN35" s="3">
        <v>3.2179487180000002</v>
      </c>
    </row>
    <row r="36" spans="1:40" x14ac:dyDescent="0.25">
      <c r="A36" t="s">
        <v>61</v>
      </c>
      <c r="B36" t="s">
        <v>361</v>
      </c>
      <c r="C36" t="s">
        <v>627</v>
      </c>
      <c r="D36" s="5" t="s">
        <v>630</v>
      </c>
      <c r="E36" s="3">
        <v>3</v>
      </c>
      <c r="F36" s="3">
        <v>2</v>
      </c>
      <c r="G36" s="3">
        <v>2</v>
      </c>
      <c r="H36" s="3">
        <v>2</v>
      </c>
      <c r="I36" s="3">
        <v>1</v>
      </c>
      <c r="J36" s="3">
        <v>2</v>
      </c>
      <c r="K36" t="s">
        <v>631</v>
      </c>
      <c r="L36" s="3">
        <f t="shared" si="0"/>
        <v>4</v>
      </c>
      <c r="M36" s="3">
        <v>1</v>
      </c>
      <c r="N36" s="3">
        <v>3</v>
      </c>
      <c r="O36" s="3">
        <v>2</v>
      </c>
      <c r="P36" s="3">
        <v>3</v>
      </c>
      <c r="Q36" s="3">
        <v>4</v>
      </c>
      <c r="R36" s="3">
        <v>3</v>
      </c>
      <c r="S36" s="3">
        <v>2</v>
      </c>
      <c r="T36" s="3">
        <v>5</v>
      </c>
      <c r="U36" s="3">
        <v>1</v>
      </c>
      <c r="V36" t="s">
        <v>636</v>
      </c>
      <c r="W36" t="s">
        <v>644</v>
      </c>
      <c r="X36" t="s">
        <v>648</v>
      </c>
      <c r="Y36" t="s">
        <v>651</v>
      </c>
      <c r="Z36" t="s">
        <v>656</v>
      </c>
      <c r="AA36" s="3">
        <v>7</v>
      </c>
      <c r="AB36">
        <v>0</v>
      </c>
      <c r="AC36" s="3">
        <v>3</v>
      </c>
      <c r="AD36" t="s">
        <v>657</v>
      </c>
      <c r="AE36" s="3">
        <f t="shared" si="2"/>
        <v>1.25</v>
      </c>
      <c r="AF36" s="3">
        <f>AVERAGE(E36:U36)</f>
        <v>2.5</v>
      </c>
      <c r="AG36" s="3">
        <f>AVERAGEIF($C:$C, C36, $AE:$AE)</f>
        <v>1.25</v>
      </c>
      <c r="AH36" s="3">
        <f t="shared" si="1"/>
        <v>1.25</v>
      </c>
      <c r="AI36" s="3">
        <f>IF(Table1[[#This Row],[Attendance Bracket]]="&gt;75%", 1, IF(Table1[[#This Row],[Attendance Bracket]]="50-75%", 0.8, 0.6))</f>
        <v>0.8</v>
      </c>
      <c r="AJ36" s="3">
        <v>2</v>
      </c>
      <c r="AK36" s="3" t="s">
        <v>684</v>
      </c>
      <c r="AL36" s="3">
        <f>VLOOKUP(C36,Table14[[#All],[Department]:[Publication_count]], 2, FALSE)</f>
        <v>5</v>
      </c>
      <c r="AM36" s="3">
        <v>6.3333333329999997</v>
      </c>
      <c r="AN36" s="3">
        <v>1.974358974</v>
      </c>
    </row>
    <row r="37" spans="1:40" x14ac:dyDescent="0.25">
      <c r="A37" t="s">
        <v>62</v>
      </c>
      <c r="B37" t="s">
        <v>362</v>
      </c>
      <c r="C37" t="s">
        <v>627</v>
      </c>
      <c r="D37" s="5" t="s">
        <v>660</v>
      </c>
      <c r="E37" s="3">
        <v>2</v>
      </c>
      <c r="F37" s="3">
        <v>4</v>
      </c>
      <c r="G37" s="3">
        <v>1</v>
      </c>
      <c r="H37" s="3">
        <v>5</v>
      </c>
      <c r="I37" s="3">
        <v>2</v>
      </c>
      <c r="J37" s="3">
        <v>1</v>
      </c>
      <c r="K37" t="s">
        <v>633</v>
      </c>
      <c r="L37" s="3">
        <f t="shared" si="0"/>
        <v>2</v>
      </c>
      <c r="M37" s="3">
        <v>5</v>
      </c>
      <c r="N37" s="3">
        <v>5</v>
      </c>
      <c r="O37" s="3">
        <v>2</v>
      </c>
      <c r="P37" s="3">
        <v>3</v>
      </c>
      <c r="Q37" s="3">
        <v>5</v>
      </c>
      <c r="R37" s="3">
        <v>2</v>
      </c>
      <c r="S37" s="3">
        <v>5</v>
      </c>
      <c r="T37" s="3">
        <v>4</v>
      </c>
      <c r="U37" s="3">
        <v>3</v>
      </c>
      <c r="V37" t="s">
        <v>640</v>
      </c>
      <c r="W37" t="s">
        <v>641</v>
      </c>
      <c r="X37" t="s">
        <v>649</v>
      </c>
      <c r="Y37" t="s">
        <v>651</v>
      </c>
      <c r="Z37" t="s">
        <v>655</v>
      </c>
      <c r="AA37" s="3">
        <v>6</v>
      </c>
      <c r="AB37">
        <v>0</v>
      </c>
      <c r="AC37" s="3">
        <v>2</v>
      </c>
      <c r="AD37" t="s">
        <v>657</v>
      </c>
      <c r="AE37" s="3">
        <f t="shared" si="2"/>
        <v>1.25</v>
      </c>
      <c r="AF37" s="3">
        <f>AVERAGE(E37:U37)</f>
        <v>3.1875</v>
      </c>
      <c r="AG37" s="3">
        <f>AVERAGEIF($C:$C, C37, $AE:$AE)</f>
        <v>1.25</v>
      </c>
      <c r="AH37" s="3">
        <f t="shared" si="1"/>
        <v>1.9375</v>
      </c>
      <c r="AI37" s="3">
        <f>IF(Table1[[#This Row],[Attendance Bracket]]="&gt;75%", 1, IF(Table1[[#This Row],[Attendance Bracket]]="50-75%", 0.8, 0.6))</f>
        <v>0.8</v>
      </c>
      <c r="AJ37" s="3">
        <v>2</v>
      </c>
      <c r="AK37" s="3" t="s">
        <v>684</v>
      </c>
      <c r="AL37" s="3">
        <f>VLOOKUP(C37,Table14[[#All],[Department]:[Publication_count]], 2, FALSE)</f>
        <v>5</v>
      </c>
      <c r="AM37" s="3">
        <v>6.3333333329999997</v>
      </c>
      <c r="AN37" s="3">
        <v>2.9743589739999998</v>
      </c>
    </row>
    <row r="38" spans="1:40" x14ac:dyDescent="0.25">
      <c r="A38" t="s">
        <v>63</v>
      </c>
      <c r="B38" t="s">
        <v>363</v>
      </c>
      <c r="C38" t="s">
        <v>627</v>
      </c>
      <c r="D38" s="5" t="s">
        <v>659</v>
      </c>
      <c r="E38" s="3">
        <v>5</v>
      </c>
      <c r="F38" s="3">
        <v>1</v>
      </c>
      <c r="G38" s="3">
        <v>5</v>
      </c>
      <c r="H38" s="3">
        <v>4</v>
      </c>
      <c r="I38" s="3">
        <v>5</v>
      </c>
      <c r="J38" s="3">
        <v>3</v>
      </c>
      <c r="K38" t="s">
        <v>631</v>
      </c>
      <c r="L38" s="3">
        <f t="shared" si="0"/>
        <v>4</v>
      </c>
      <c r="M38" s="3">
        <v>5</v>
      </c>
      <c r="N38" s="3">
        <v>4</v>
      </c>
      <c r="O38" s="3">
        <v>4</v>
      </c>
      <c r="P38" s="3">
        <v>3</v>
      </c>
      <c r="Q38" s="3">
        <v>2</v>
      </c>
      <c r="R38" s="3">
        <v>3</v>
      </c>
      <c r="S38" s="3">
        <v>5</v>
      </c>
      <c r="T38" s="3">
        <v>5</v>
      </c>
      <c r="U38" s="3">
        <v>4</v>
      </c>
      <c r="V38" t="s">
        <v>636</v>
      </c>
      <c r="W38" t="s">
        <v>642</v>
      </c>
      <c r="X38" t="s">
        <v>648</v>
      </c>
      <c r="Y38" t="s">
        <v>651</v>
      </c>
      <c r="Z38" t="s">
        <v>654</v>
      </c>
      <c r="AA38" s="3">
        <v>19</v>
      </c>
      <c r="AB38">
        <v>1</v>
      </c>
      <c r="AC38" s="3">
        <v>1</v>
      </c>
      <c r="AD38" t="s">
        <v>657</v>
      </c>
      <c r="AE38" s="3">
        <f t="shared" si="2"/>
        <v>1.25</v>
      </c>
      <c r="AF38" s="3">
        <f>AVERAGE(E38:U38)</f>
        <v>3.875</v>
      </c>
      <c r="AG38" s="3">
        <f>AVERAGEIF($C:$C, C38, $AE:$AE)</f>
        <v>1.25</v>
      </c>
      <c r="AH38" s="3">
        <f t="shared" si="1"/>
        <v>2.625</v>
      </c>
      <c r="AI38" s="3">
        <f>IF(Table1[[#This Row],[Attendance Bracket]]="&gt;75%", 1, IF(Table1[[#This Row],[Attendance Bracket]]="50-75%", 0.8, 0.6))</f>
        <v>0.8</v>
      </c>
      <c r="AJ38" s="3">
        <v>1</v>
      </c>
      <c r="AK38" s="3" t="s">
        <v>684</v>
      </c>
      <c r="AL38" s="3">
        <f>VLOOKUP(C38,Table14[[#All],[Department]:[Publication_count]], 2, FALSE)</f>
        <v>5</v>
      </c>
      <c r="AM38" s="3">
        <v>6.3333333329999997</v>
      </c>
      <c r="AN38" s="3">
        <v>1.474358974</v>
      </c>
    </row>
    <row r="39" spans="1:40" x14ac:dyDescent="0.25">
      <c r="A39" t="s">
        <v>64</v>
      </c>
      <c r="B39" t="s">
        <v>364</v>
      </c>
      <c r="C39" t="s">
        <v>628</v>
      </c>
      <c r="D39" s="5" t="s">
        <v>660</v>
      </c>
      <c r="E39" s="3">
        <v>1</v>
      </c>
      <c r="F39" s="3">
        <v>5</v>
      </c>
      <c r="G39" s="3">
        <v>2</v>
      </c>
      <c r="H39" s="3">
        <v>3</v>
      </c>
      <c r="I39" s="3">
        <v>4</v>
      </c>
      <c r="J39" s="3">
        <v>4</v>
      </c>
      <c r="K39" t="s">
        <v>633</v>
      </c>
      <c r="L39" s="3">
        <f t="shared" si="0"/>
        <v>2</v>
      </c>
      <c r="M39" s="3">
        <v>4</v>
      </c>
      <c r="N39" s="3">
        <v>3</v>
      </c>
      <c r="O39" s="3">
        <v>1</v>
      </c>
      <c r="P39" s="3">
        <v>3</v>
      </c>
      <c r="Q39" s="3">
        <v>3</v>
      </c>
      <c r="R39" s="3">
        <v>5</v>
      </c>
      <c r="S39" s="3">
        <v>1</v>
      </c>
      <c r="T39" s="3">
        <v>1</v>
      </c>
      <c r="U39" s="3">
        <v>5</v>
      </c>
      <c r="V39" t="s">
        <v>640</v>
      </c>
      <c r="W39" t="s">
        <v>644</v>
      </c>
      <c r="X39" t="s">
        <v>647</v>
      </c>
      <c r="Y39" t="s">
        <v>653</v>
      </c>
      <c r="Z39" t="s">
        <v>654</v>
      </c>
      <c r="AA39" s="3">
        <v>17</v>
      </c>
      <c r="AB39">
        <v>1</v>
      </c>
      <c r="AC39" s="3">
        <v>4</v>
      </c>
      <c r="AD39" t="s">
        <v>657</v>
      </c>
      <c r="AE39" s="3">
        <f t="shared" si="2"/>
        <v>1.25</v>
      </c>
      <c r="AF39" s="3">
        <f>AVERAGE(E39:U39)</f>
        <v>2.9375</v>
      </c>
      <c r="AG39" s="3">
        <f>AVERAGEIF($C:$C, C39, $AE:$AE)</f>
        <v>1.25</v>
      </c>
      <c r="AH39" s="3">
        <f t="shared" si="1"/>
        <v>1.6875</v>
      </c>
      <c r="AI39" s="3">
        <f>IF(Table1[[#This Row],[Attendance Bracket]]="&gt;75%", 1, IF(Table1[[#This Row],[Attendance Bracket]]="50-75%", 0.8, 0.6))</f>
        <v>1</v>
      </c>
      <c r="AJ39" s="3">
        <v>2</v>
      </c>
      <c r="AK39" s="3" t="s">
        <v>684</v>
      </c>
      <c r="AL39" s="3">
        <f>VLOOKUP(C39,Table14[[#All],[Department]:[Publication_count]], 2, FALSE)</f>
        <v>12</v>
      </c>
      <c r="AM39" s="3">
        <v>16.25</v>
      </c>
      <c r="AN39" s="3">
        <v>5</v>
      </c>
    </row>
    <row r="40" spans="1:40" x14ac:dyDescent="0.25">
      <c r="A40" t="s">
        <v>65</v>
      </c>
      <c r="B40" t="s">
        <v>365</v>
      </c>
      <c r="C40" t="s">
        <v>628</v>
      </c>
      <c r="D40" s="5" t="s">
        <v>659</v>
      </c>
      <c r="E40" s="3">
        <v>5</v>
      </c>
      <c r="F40" s="3">
        <v>5</v>
      </c>
      <c r="G40" s="3">
        <v>4</v>
      </c>
      <c r="H40" s="3">
        <v>4</v>
      </c>
      <c r="I40" s="3">
        <v>1</v>
      </c>
      <c r="J40" s="3">
        <v>5</v>
      </c>
      <c r="K40" t="s">
        <v>632</v>
      </c>
      <c r="L40" s="3">
        <f t="shared" si="0"/>
        <v>1</v>
      </c>
      <c r="M40" s="3">
        <v>2</v>
      </c>
      <c r="N40" s="3">
        <v>5</v>
      </c>
      <c r="O40" s="3">
        <v>1</v>
      </c>
      <c r="P40" s="3">
        <v>3</v>
      </c>
      <c r="Q40" s="3">
        <v>5</v>
      </c>
      <c r="R40" s="3">
        <v>2</v>
      </c>
      <c r="S40" s="3">
        <v>4</v>
      </c>
      <c r="T40" s="3">
        <v>3</v>
      </c>
      <c r="U40" s="3">
        <v>1</v>
      </c>
      <c r="V40" t="s">
        <v>639</v>
      </c>
      <c r="W40" t="s">
        <v>644</v>
      </c>
      <c r="X40" t="s">
        <v>648</v>
      </c>
      <c r="Y40" t="s">
        <v>651</v>
      </c>
      <c r="Z40" t="s">
        <v>656</v>
      </c>
      <c r="AA40" s="3">
        <v>10</v>
      </c>
      <c r="AB40">
        <v>1</v>
      </c>
      <c r="AC40" s="3">
        <v>5</v>
      </c>
      <c r="AD40" t="s">
        <v>657</v>
      </c>
      <c r="AE40" s="3">
        <f t="shared" si="2"/>
        <v>1.25</v>
      </c>
      <c r="AF40" s="3">
        <f>AVERAGE(E40:U40)</f>
        <v>3.1875</v>
      </c>
      <c r="AG40" s="3">
        <f>AVERAGEIF($C:$C, C40, $AE:$AE)</f>
        <v>1.25</v>
      </c>
      <c r="AH40" s="3">
        <f t="shared" si="1"/>
        <v>1.9375</v>
      </c>
      <c r="AI40" s="3">
        <f>IF(Table1[[#This Row],[Attendance Bracket]]="&gt;75%", 1, IF(Table1[[#This Row],[Attendance Bracket]]="50-75%", 0.8, 0.6))</f>
        <v>0.8</v>
      </c>
      <c r="AJ40" s="3">
        <v>2</v>
      </c>
      <c r="AK40" s="3" t="s">
        <v>684</v>
      </c>
      <c r="AL40" s="3">
        <f>VLOOKUP(C40,Table14[[#All],[Department]:[Publication_count]], 2, FALSE)</f>
        <v>12</v>
      </c>
      <c r="AM40" s="3">
        <v>16.25</v>
      </c>
      <c r="AN40" s="3">
        <v>5</v>
      </c>
    </row>
    <row r="41" spans="1:40" x14ac:dyDescent="0.25">
      <c r="A41" t="s">
        <v>66</v>
      </c>
      <c r="B41" t="s">
        <v>366</v>
      </c>
      <c r="C41" t="s">
        <v>629</v>
      </c>
      <c r="D41" s="5" t="s">
        <v>630</v>
      </c>
      <c r="E41" s="3">
        <v>1</v>
      </c>
      <c r="F41" s="3">
        <v>1</v>
      </c>
      <c r="G41" s="3">
        <v>3</v>
      </c>
      <c r="H41" s="3">
        <v>4</v>
      </c>
      <c r="I41" s="3">
        <v>3</v>
      </c>
      <c r="J41" s="3">
        <v>1</v>
      </c>
      <c r="K41" t="s">
        <v>631</v>
      </c>
      <c r="L41" s="3">
        <f t="shared" si="0"/>
        <v>4</v>
      </c>
      <c r="M41" s="3">
        <v>2</v>
      </c>
      <c r="N41" s="3">
        <v>3</v>
      </c>
      <c r="O41" s="3">
        <v>2</v>
      </c>
      <c r="P41" s="3">
        <v>2</v>
      </c>
      <c r="Q41" s="3">
        <v>2</v>
      </c>
      <c r="R41" s="3">
        <v>3</v>
      </c>
      <c r="S41" s="3">
        <v>4</v>
      </c>
      <c r="T41" s="3">
        <v>2</v>
      </c>
      <c r="U41" s="3">
        <v>4</v>
      </c>
      <c r="V41" t="s">
        <v>636</v>
      </c>
      <c r="W41" t="s">
        <v>642</v>
      </c>
      <c r="X41" t="s">
        <v>650</v>
      </c>
      <c r="Y41" t="s">
        <v>652</v>
      </c>
      <c r="Z41" t="s">
        <v>655</v>
      </c>
      <c r="AA41" s="3">
        <v>15</v>
      </c>
      <c r="AB41">
        <v>0</v>
      </c>
      <c r="AC41" s="3">
        <v>2</v>
      </c>
      <c r="AD41" t="s">
        <v>657</v>
      </c>
      <c r="AE41" s="3">
        <f t="shared" si="2"/>
        <v>1.25</v>
      </c>
      <c r="AF41" s="3">
        <f>AVERAGE(E41:U41)</f>
        <v>2.5625</v>
      </c>
      <c r="AG41" s="3">
        <f>AVERAGEIF($C:$C, C41, $AE:$AE)</f>
        <v>1.2450000000000001</v>
      </c>
      <c r="AH41" s="3">
        <f t="shared" si="1"/>
        <v>1.3174999999999999</v>
      </c>
      <c r="AI41" s="3">
        <f>IF(Table1[[#This Row],[Attendance Bracket]]="&gt;75%", 1, IF(Table1[[#This Row],[Attendance Bracket]]="50-75%", 0.8, 0.6))</f>
        <v>0.6</v>
      </c>
      <c r="AJ41" s="3">
        <v>1</v>
      </c>
      <c r="AK41" s="3" t="s">
        <v>684</v>
      </c>
      <c r="AL41" s="3">
        <f>VLOOKUP(C41,Table14[[#All],[Department]:[Publication_count]], 2, FALSE)</f>
        <v>3</v>
      </c>
      <c r="AM41" s="3">
        <v>4.6666666670000003</v>
      </c>
      <c r="AN41" s="3">
        <v>1.2179487179999999</v>
      </c>
    </row>
    <row r="42" spans="1:40" x14ac:dyDescent="0.25">
      <c r="A42" t="s">
        <v>67</v>
      </c>
      <c r="B42" t="s">
        <v>367</v>
      </c>
      <c r="C42" t="s">
        <v>628</v>
      </c>
      <c r="D42" s="5" t="s">
        <v>659</v>
      </c>
      <c r="E42" s="3">
        <v>5</v>
      </c>
      <c r="F42" s="3">
        <v>3</v>
      </c>
      <c r="G42" s="3">
        <v>3</v>
      </c>
      <c r="H42" s="3">
        <v>2</v>
      </c>
      <c r="I42" s="3">
        <v>1</v>
      </c>
      <c r="J42" s="3">
        <v>5</v>
      </c>
      <c r="K42" t="s">
        <v>632</v>
      </c>
      <c r="L42" s="3">
        <f t="shared" si="0"/>
        <v>1</v>
      </c>
      <c r="M42" s="3">
        <v>5</v>
      </c>
      <c r="N42" s="3">
        <v>1</v>
      </c>
      <c r="O42" s="3">
        <v>4</v>
      </c>
      <c r="P42" s="3">
        <v>4</v>
      </c>
      <c r="Q42" s="3">
        <v>2</v>
      </c>
      <c r="R42" s="3">
        <v>2</v>
      </c>
      <c r="S42" s="3">
        <v>3</v>
      </c>
      <c r="T42" s="3">
        <v>2</v>
      </c>
      <c r="U42" s="3">
        <v>5</v>
      </c>
      <c r="V42" t="s">
        <v>639</v>
      </c>
      <c r="W42" t="s">
        <v>644</v>
      </c>
      <c r="X42" t="s">
        <v>650</v>
      </c>
      <c r="Y42" t="s">
        <v>652</v>
      </c>
      <c r="Z42" t="s">
        <v>655</v>
      </c>
      <c r="AA42" s="3">
        <v>6</v>
      </c>
      <c r="AB42">
        <v>0</v>
      </c>
      <c r="AC42" s="3">
        <v>2</v>
      </c>
      <c r="AD42" t="s">
        <v>657</v>
      </c>
      <c r="AE42" s="3">
        <f t="shared" si="2"/>
        <v>1.25</v>
      </c>
      <c r="AF42" s="3">
        <f>AVERAGE(E42:U42)</f>
        <v>3</v>
      </c>
      <c r="AG42" s="3">
        <f>AVERAGEIF($C:$C, C42, $AE:$AE)</f>
        <v>1.25</v>
      </c>
      <c r="AH42" s="3">
        <f t="shared" si="1"/>
        <v>1.75</v>
      </c>
      <c r="AI42" s="3">
        <f>IF(Table1[[#This Row],[Attendance Bracket]]="&gt;75%", 1, IF(Table1[[#This Row],[Attendance Bracket]]="50-75%", 0.8, 0.6))</f>
        <v>0.6</v>
      </c>
      <c r="AJ42" s="3">
        <v>2</v>
      </c>
      <c r="AK42" s="3" t="s">
        <v>684</v>
      </c>
      <c r="AL42" s="3">
        <f>VLOOKUP(C42,Table14[[#All],[Department]:[Publication_count]], 2, FALSE)</f>
        <v>12</v>
      </c>
      <c r="AM42" s="3">
        <v>16.25</v>
      </c>
      <c r="AN42" s="3">
        <v>4</v>
      </c>
    </row>
    <row r="43" spans="1:40" x14ac:dyDescent="0.25">
      <c r="A43" t="s">
        <v>68</v>
      </c>
      <c r="B43" t="s">
        <v>368</v>
      </c>
      <c r="C43" t="s">
        <v>629</v>
      </c>
      <c r="D43" s="5" t="s">
        <v>659</v>
      </c>
      <c r="E43" s="3">
        <v>1</v>
      </c>
      <c r="F43" s="3">
        <v>1</v>
      </c>
      <c r="G43" s="3">
        <v>4</v>
      </c>
      <c r="H43" s="3">
        <v>4</v>
      </c>
      <c r="I43" s="3">
        <v>4</v>
      </c>
      <c r="J43" s="3">
        <v>4</v>
      </c>
      <c r="K43" t="s">
        <v>633</v>
      </c>
      <c r="L43" s="3">
        <f t="shared" si="0"/>
        <v>2</v>
      </c>
      <c r="M43" s="3">
        <v>2</v>
      </c>
      <c r="N43" s="3">
        <v>2</v>
      </c>
      <c r="O43" s="3">
        <v>4</v>
      </c>
      <c r="P43" s="3">
        <v>5</v>
      </c>
      <c r="Q43" s="3">
        <v>2</v>
      </c>
      <c r="R43" s="3">
        <v>4</v>
      </c>
      <c r="S43" s="3">
        <v>5</v>
      </c>
      <c r="T43" s="3">
        <v>4</v>
      </c>
      <c r="U43" s="3">
        <v>5</v>
      </c>
      <c r="V43" t="s">
        <v>639</v>
      </c>
      <c r="W43" t="s">
        <v>645</v>
      </c>
      <c r="X43" t="s">
        <v>650</v>
      </c>
      <c r="Y43" t="s">
        <v>651</v>
      </c>
      <c r="Z43" t="s">
        <v>655</v>
      </c>
      <c r="AA43" s="3">
        <v>15</v>
      </c>
      <c r="AB43">
        <v>0</v>
      </c>
      <c r="AC43" s="3">
        <v>2</v>
      </c>
      <c r="AD43" t="s">
        <v>657</v>
      </c>
      <c r="AE43" s="3">
        <f t="shared" si="2"/>
        <v>1.25</v>
      </c>
      <c r="AF43" s="3">
        <f>AVERAGE(E43:U43)</f>
        <v>3.3125</v>
      </c>
      <c r="AG43" s="3">
        <f>AVERAGEIF($C:$C, C43, $AE:$AE)</f>
        <v>1.2450000000000001</v>
      </c>
      <c r="AH43" s="3">
        <f t="shared" si="1"/>
        <v>2.0674999999999999</v>
      </c>
      <c r="AI43" s="3">
        <f>IF(Table1[[#This Row],[Attendance Bracket]]="&gt;75%", 1, IF(Table1[[#This Row],[Attendance Bracket]]="50-75%", 0.8, 0.6))</f>
        <v>0.8</v>
      </c>
      <c r="AJ43" s="3">
        <v>3</v>
      </c>
      <c r="AK43" s="3" t="s">
        <v>634</v>
      </c>
      <c r="AL43" s="3">
        <f>VLOOKUP(C43,Table14[[#All],[Department]:[Publication_count]], 2, FALSE)</f>
        <v>3</v>
      </c>
      <c r="AM43" s="3">
        <v>4.6666666670000003</v>
      </c>
      <c r="AN43" s="3">
        <v>1.2179487179999999</v>
      </c>
    </row>
    <row r="44" spans="1:40" x14ac:dyDescent="0.25">
      <c r="A44" t="s">
        <v>69</v>
      </c>
      <c r="B44" t="s">
        <v>369</v>
      </c>
      <c r="C44" t="s">
        <v>629</v>
      </c>
      <c r="D44" s="5" t="s">
        <v>659</v>
      </c>
      <c r="E44" s="3">
        <v>1</v>
      </c>
      <c r="F44" s="3">
        <v>5</v>
      </c>
      <c r="G44" s="3">
        <v>2</v>
      </c>
      <c r="H44" s="3">
        <v>1</v>
      </c>
      <c r="I44" s="3">
        <v>1</v>
      </c>
      <c r="J44" s="3">
        <v>4</v>
      </c>
      <c r="K44" t="s">
        <v>633</v>
      </c>
      <c r="L44" s="3">
        <f t="shared" si="0"/>
        <v>2</v>
      </c>
      <c r="M44" s="3">
        <v>1</v>
      </c>
      <c r="N44" s="3">
        <v>5</v>
      </c>
      <c r="O44" s="3">
        <v>3</v>
      </c>
      <c r="P44" s="3">
        <v>1</v>
      </c>
      <c r="Q44" s="3">
        <v>4</v>
      </c>
      <c r="R44" s="3">
        <v>1</v>
      </c>
      <c r="S44" s="3">
        <v>1</v>
      </c>
      <c r="T44" s="3">
        <v>4</v>
      </c>
      <c r="U44" s="3">
        <v>4</v>
      </c>
      <c r="V44" t="s">
        <v>639</v>
      </c>
      <c r="W44" t="s">
        <v>645</v>
      </c>
      <c r="X44" t="s">
        <v>646</v>
      </c>
      <c r="Y44" t="s">
        <v>653</v>
      </c>
      <c r="Z44" t="s">
        <v>655</v>
      </c>
      <c r="AA44" s="3">
        <v>16</v>
      </c>
      <c r="AB44">
        <v>0</v>
      </c>
      <c r="AC44" s="3">
        <v>4</v>
      </c>
      <c r="AD44" t="s">
        <v>657</v>
      </c>
      <c r="AE44" s="3">
        <f t="shared" si="2"/>
        <v>1.25</v>
      </c>
      <c r="AF44" s="3">
        <f>AVERAGE(E44:U44)</f>
        <v>2.5</v>
      </c>
      <c r="AG44" s="3">
        <f>AVERAGEIF($C:$C, C44, $AE:$AE)</f>
        <v>1.2450000000000001</v>
      </c>
      <c r="AH44" s="3">
        <f t="shared" si="1"/>
        <v>1.2549999999999999</v>
      </c>
      <c r="AI44" s="3">
        <f>IF(Table1[[#This Row],[Attendance Bracket]]="&gt;75%", 1, IF(Table1[[#This Row],[Attendance Bracket]]="50-75%", 0.8, 0.6))</f>
        <v>1</v>
      </c>
      <c r="AJ44" s="3">
        <v>3</v>
      </c>
      <c r="AK44" s="3" t="s">
        <v>634</v>
      </c>
      <c r="AL44" s="3">
        <f>VLOOKUP(C44,Table14[[#All],[Department]:[Publication_count]], 2, FALSE)</f>
        <v>3</v>
      </c>
      <c r="AM44" s="3">
        <v>4.6666666670000003</v>
      </c>
      <c r="AN44" s="3">
        <v>3.2179487180000002</v>
      </c>
    </row>
    <row r="45" spans="1:40" x14ac:dyDescent="0.25">
      <c r="A45" t="s">
        <v>70</v>
      </c>
      <c r="B45" t="s">
        <v>370</v>
      </c>
      <c r="C45" t="s">
        <v>628</v>
      </c>
      <c r="D45" s="5" t="s">
        <v>659</v>
      </c>
      <c r="E45" s="3">
        <v>4</v>
      </c>
      <c r="F45" s="3">
        <v>3</v>
      </c>
      <c r="G45" s="3">
        <v>3</v>
      </c>
      <c r="H45" s="3">
        <v>2</v>
      </c>
      <c r="I45" s="3">
        <v>5</v>
      </c>
      <c r="J45" s="3">
        <v>1</v>
      </c>
      <c r="K45" t="s">
        <v>635</v>
      </c>
      <c r="L45" s="3">
        <f t="shared" si="0"/>
        <v>5</v>
      </c>
      <c r="M45" s="3">
        <v>4</v>
      </c>
      <c r="N45" s="3">
        <v>4</v>
      </c>
      <c r="O45" s="3">
        <v>5</v>
      </c>
      <c r="P45" s="3">
        <v>5</v>
      </c>
      <c r="Q45" s="3">
        <v>1</v>
      </c>
      <c r="R45" s="3">
        <v>4</v>
      </c>
      <c r="S45" s="3">
        <v>4</v>
      </c>
      <c r="T45" s="3">
        <v>2</v>
      </c>
      <c r="U45" s="3">
        <v>2</v>
      </c>
      <c r="V45" t="s">
        <v>636</v>
      </c>
      <c r="W45" t="s">
        <v>642</v>
      </c>
      <c r="X45" t="s">
        <v>650</v>
      </c>
      <c r="Y45" t="s">
        <v>653</v>
      </c>
      <c r="Z45" t="s">
        <v>656</v>
      </c>
      <c r="AA45" s="3">
        <v>20</v>
      </c>
      <c r="AB45">
        <v>1</v>
      </c>
      <c r="AC45" s="3">
        <v>3</v>
      </c>
      <c r="AD45" t="s">
        <v>657</v>
      </c>
      <c r="AE45" s="3">
        <f t="shared" si="2"/>
        <v>1.25</v>
      </c>
      <c r="AF45" s="3">
        <f>AVERAGE(E45:U45)</f>
        <v>3.375</v>
      </c>
      <c r="AG45" s="3">
        <f>AVERAGEIF($C:$C, C45, $AE:$AE)</f>
        <v>1.25</v>
      </c>
      <c r="AH45" s="3">
        <f t="shared" si="1"/>
        <v>2.125</v>
      </c>
      <c r="AI45" s="3">
        <f>IF(Table1[[#This Row],[Attendance Bracket]]="&gt;75%", 1, IF(Table1[[#This Row],[Attendance Bracket]]="50-75%", 0.8, 0.6))</f>
        <v>1</v>
      </c>
      <c r="AJ45" s="3">
        <v>1</v>
      </c>
      <c r="AK45" s="3" t="s">
        <v>684</v>
      </c>
      <c r="AL45" s="3">
        <f>VLOOKUP(C45,Table14[[#All],[Department]:[Publication_count]], 2, FALSE)</f>
        <v>12</v>
      </c>
      <c r="AM45" s="3">
        <v>16.25</v>
      </c>
      <c r="AN45" s="3">
        <v>4</v>
      </c>
    </row>
    <row r="46" spans="1:40" x14ac:dyDescent="0.25">
      <c r="A46" t="s">
        <v>71</v>
      </c>
      <c r="B46" t="s">
        <v>371</v>
      </c>
      <c r="C46" t="s">
        <v>627</v>
      </c>
      <c r="D46" s="5" t="s">
        <v>659</v>
      </c>
      <c r="E46" s="3">
        <v>1</v>
      </c>
      <c r="F46" s="3">
        <v>5</v>
      </c>
      <c r="G46" s="3">
        <v>4</v>
      </c>
      <c r="H46" s="3">
        <v>2</v>
      </c>
      <c r="I46" s="3">
        <v>2</v>
      </c>
      <c r="J46" s="3">
        <v>3</v>
      </c>
      <c r="K46" t="s">
        <v>633</v>
      </c>
      <c r="L46" s="3">
        <f t="shared" si="0"/>
        <v>2</v>
      </c>
      <c r="M46" s="3">
        <v>5</v>
      </c>
      <c r="N46" s="3">
        <v>5</v>
      </c>
      <c r="O46" s="3">
        <v>1</v>
      </c>
      <c r="P46" s="3">
        <v>3</v>
      </c>
      <c r="Q46" s="3">
        <v>5</v>
      </c>
      <c r="R46" s="3">
        <v>3</v>
      </c>
      <c r="S46" s="3">
        <v>1</v>
      </c>
      <c r="T46" s="3">
        <v>2</v>
      </c>
      <c r="U46" s="3">
        <v>4</v>
      </c>
      <c r="V46" t="s">
        <v>637</v>
      </c>
      <c r="W46" t="s">
        <v>644</v>
      </c>
      <c r="X46" t="s">
        <v>647</v>
      </c>
      <c r="Y46" t="s">
        <v>653</v>
      </c>
      <c r="Z46" t="s">
        <v>655</v>
      </c>
      <c r="AA46" s="3">
        <v>18</v>
      </c>
      <c r="AB46">
        <v>1</v>
      </c>
      <c r="AC46" s="3">
        <v>5</v>
      </c>
      <c r="AD46" t="s">
        <v>657</v>
      </c>
      <c r="AE46" s="3">
        <f t="shared" si="2"/>
        <v>1.25</v>
      </c>
      <c r="AF46" s="3">
        <f>AVERAGE(E46:U46)</f>
        <v>3</v>
      </c>
      <c r="AG46" s="3">
        <f>AVERAGEIF($C:$C, C46, $AE:$AE)</f>
        <v>1.25</v>
      </c>
      <c r="AH46" s="3">
        <f t="shared" si="1"/>
        <v>1.75</v>
      </c>
      <c r="AI46" s="3">
        <f>IF(Table1[[#This Row],[Attendance Bracket]]="&gt;75%", 1, IF(Table1[[#This Row],[Attendance Bracket]]="50-75%", 0.8, 0.6))</f>
        <v>1</v>
      </c>
      <c r="AJ46" s="3">
        <v>2</v>
      </c>
      <c r="AK46" s="3" t="s">
        <v>684</v>
      </c>
      <c r="AL46" s="3">
        <f>VLOOKUP(C46,Table14[[#All],[Department]:[Publication_count]], 2, FALSE)</f>
        <v>5</v>
      </c>
      <c r="AM46" s="3">
        <v>6.3333333329999997</v>
      </c>
      <c r="AN46" s="3">
        <v>3.4743589739999998</v>
      </c>
    </row>
    <row r="47" spans="1:40" x14ac:dyDescent="0.25">
      <c r="A47" t="s">
        <v>72</v>
      </c>
      <c r="B47" t="s">
        <v>372</v>
      </c>
      <c r="C47" t="s">
        <v>627</v>
      </c>
      <c r="D47" s="5" t="s">
        <v>660</v>
      </c>
      <c r="E47" s="3">
        <v>1</v>
      </c>
      <c r="F47" s="3">
        <v>3</v>
      </c>
      <c r="G47" s="3">
        <v>5</v>
      </c>
      <c r="H47" s="3">
        <v>3</v>
      </c>
      <c r="I47" s="3">
        <v>5</v>
      </c>
      <c r="J47" s="3">
        <v>3</v>
      </c>
      <c r="K47" t="s">
        <v>634</v>
      </c>
      <c r="L47" s="3">
        <f t="shared" si="0"/>
        <v>3</v>
      </c>
      <c r="M47" s="3">
        <v>3</v>
      </c>
      <c r="N47" s="3">
        <v>2</v>
      </c>
      <c r="O47" s="3">
        <v>5</v>
      </c>
      <c r="P47" s="3">
        <v>3</v>
      </c>
      <c r="Q47" s="3">
        <v>2</v>
      </c>
      <c r="R47" s="3">
        <v>5</v>
      </c>
      <c r="S47" s="3">
        <v>4</v>
      </c>
      <c r="T47" s="3">
        <v>5</v>
      </c>
      <c r="U47" s="3">
        <v>3</v>
      </c>
      <c r="V47" t="s">
        <v>638</v>
      </c>
      <c r="W47" t="s">
        <v>642</v>
      </c>
      <c r="X47" t="s">
        <v>648</v>
      </c>
      <c r="Y47" t="s">
        <v>652</v>
      </c>
      <c r="Z47" t="s">
        <v>656</v>
      </c>
      <c r="AA47" s="3">
        <v>7</v>
      </c>
      <c r="AB47">
        <v>0</v>
      </c>
      <c r="AC47" s="3">
        <v>2</v>
      </c>
      <c r="AD47" t="s">
        <v>657</v>
      </c>
      <c r="AE47" s="3">
        <f>IF(AE49, 1.25, 1)</f>
        <v>1.25</v>
      </c>
      <c r="AF47" s="3">
        <f>AVERAGE(E47:U47)</f>
        <v>3.4375</v>
      </c>
      <c r="AG47" s="3">
        <f>AVERAGEIF($C:$C, C47, $AE:$AE)</f>
        <v>1.25</v>
      </c>
      <c r="AH47" s="3">
        <f t="shared" si="1"/>
        <v>2.1875</v>
      </c>
      <c r="AI47" s="3">
        <f>IF(Table1[[#This Row],[Attendance Bracket]]="&gt;75%", 1, IF(Table1[[#This Row],[Attendance Bracket]]="50-75%", 0.8, 0.6))</f>
        <v>0.6</v>
      </c>
      <c r="AJ47" s="3">
        <v>1</v>
      </c>
      <c r="AK47" s="3" t="s">
        <v>684</v>
      </c>
      <c r="AL47" s="3">
        <f>VLOOKUP(C47,Table14[[#All],[Department]:[Publication_count]], 2, FALSE)</f>
        <v>5</v>
      </c>
      <c r="AM47" s="3">
        <v>6.3333333329999997</v>
      </c>
      <c r="AN47" s="3">
        <v>2.4743589739999998</v>
      </c>
    </row>
    <row r="48" spans="1:40" x14ac:dyDescent="0.25">
      <c r="A48" t="s">
        <v>73</v>
      </c>
      <c r="B48" t="s">
        <v>373</v>
      </c>
      <c r="C48" t="s">
        <v>629</v>
      </c>
      <c r="D48" s="5" t="s">
        <v>660</v>
      </c>
      <c r="E48" s="3">
        <v>5</v>
      </c>
      <c r="F48" s="3">
        <v>1</v>
      </c>
      <c r="G48" s="3">
        <v>5</v>
      </c>
      <c r="H48" s="3">
        <v>2</v>
      </c>
      <c r="I48" s="3">
        <v>3</v>
      </c>
      <c r="J48" s="3">
        <v>2</v>
      </c>
      <c r="K48" t="s">
        <v>635</v>
      </c>
      <c r="L48" s="3">
        <f t="shared" si="0"/>
        <v>5</v>
      </c>
      <c r="M48" s="3">
        <v>5</v>
      </c>
      <c r="N48" s="3">
        <v>5</v>
      </c>
      <c r="O48" s="3">
        <v>3</v>
      </c>
      <c r="P48" s="3">
        <v>1</v>
      </c>
      <c r="Q48" s="3">
        <v>1</v>
      </c>
      <c r="R48" s="3">
        <v>5</v>
      </c>
      <c r="S48" s="3">
        <v>4</v>
      </c>
      <c r="T48" s="3">
        <v>2</v>
      </c>
      <c r="U48" s="3">
        <v>5</v>
      </c>
      <c r="V48" t="s">
        <v>639</v>
      </c>
      <c r="W48" t="s">
        <v>645</v>
      </c>
      <c r="X48" t="s">
        <v>647</v>
      </c>
      <c r="Y48" t="s">
        <v>651</v>
      </c>
      <c r="Z48" t="s">
        <v>655</v>
      </c>
      <c r="AA48" s="3">
        <v>14</v>
      </c>
      <c r="AB48">
        <v>1</v>
      </c>
      <c r="AC48" s="3">
        <v>2</v>
      </c>
      <c r="AD48" t="s">
        <v>657</v>
      </c>
      <c r="AE48" s="3">
        <f>IF(AE50, 1.25, 1)</f>
        <v>1.25</v>
      </c>
      <c r="AF48" s="3">
        <f>AVERAGE(E48:U48)</f>
        <v>3.375</v>
      </c>
      <c r="AG48" s="3">
        <f>AVERAGEIF($C:$C, C48, $AE:$AE)</f>
        <v>1.2450000000000001</v>
      </c>
      <c r="AH48" s="3">
        <f t="shared" si="1"/>
        <v>2.13</v>
      </c>
      <c r="AI48" s="3">
        <f>IF(Table1[[#This Row],[Attendance Bracket]]="&gt;75%", 1, IF(Table1[[#This Row],[Attendance Bracket]]="50-75%", 0.8, 0.6))</f>
        <v>0.8</v>
      </c>
      <c r="AJ48" s="3">
        <v>3</v>
      </c>
      <c r="AK48" s="3" t="s">
        <v>634</v>
      </c>
      <c r="AL48" s="3">
        <f>VLOOKUP(C48,Table14[[#All],[Department]:[Publication_count]], 2, FALSE)</f>
        <v>3</v>
      </c>
      <c r="AM48" s="3">
        <v>4.6666666670000003</v>
      </c>
      <c r="AN48" s="3">
        <v>1.2179487179999999</v>
      </c>
    </row>
    <row r="49" spans="1:40" x14ac:dyDescent="0.25">
      <c r="A49" t="s">
        <v>74</v>
      </c>
      <c r="B49" t="s">
        <v>374</v>
      </c>
      <c r="C49" t="s">
        <v>629</v>
      </c>
      <c r="D49" s="5" t="s">
        <v>659</v>
      </c>
      <c r="E49" s="3">
        <v>2</v>
      </c>
      <c r="F49" s="3">
        <v>4</v>
      </c>
      <c r="G49" s="3">
        <v>1</v>
      </c>
      <c r="H49" s="3">
        <v>1</v>
      </c>
      <c r="I49" s="3">
        <v>3</v>
      </c>
      <c r="J49" s="3">
        <v>5</v>
      </c>
      <c r="K49" t="s">
        <v>632</v>
      </c>
      <c r="L49" s="3">
        <f t="shared" si="0"/>
        <v>1</v>
      </c>
      <c r="M49" s="3">
        <v>5</v>
      </c>
      <c r="N49" s="3">
        <v>1</v>
      </c>
      <c r="O49" s="3">
        <v>3</v>
      </c>
      <c r="P49" s="3">
        <v>2</v>
      </c>
      <c r="Q49" s="3">
        <v>5</v>
      </c>
      <c r="R49" s="3">
        <v>3</v>
      </c>
      <c r="S49" s="3">
        <v>1</v>
      </c>
      <c r="T49" s="3">
        <v>4</v>
      </c>
      <c r="U49" s="3">
        <v>1</v>
      </c>
      <c r="V49" t="s">
        <v>640</v>
      </c>
      <c r="W49" t="s">
        <v>645</v>
      </c>
      <c r="X49" t="s">
        <v>650</v>
      </c>
      <c r="Y49" t="s">
        <v>651</v>
      </c>
      <c r="Z49" t="s">
        <v>655</v>
      </c>
      <c r="AA49" s="4">
        <v>5</v>
      </c>
      <c r="AB49">
        <v>0</v>
      </c>
      <c r="AC49" s="3">
        <v>1</v>
      </c>
      <c r="AD49" t="s">
        <v>657</v>
      </c>
      <c r="AE49" s="3">
        <f t="shared" si="2"/>
        <v>1.25</v>
      </c>
      <c r="AF49" s="3">
        <f>AVERAGE(E49:U49)</f>
        <v>2.625</v>
      </c>
      <c r="AG49" s="3">
        <f>AVERAGEIF($C:$C, C49, $AE:$AE)</f>
        <v>1.2450000000000001</v>
      </c>
      <c r="AH49" s="3">
        <f t="shared" si="1"/>
        <v>1.38</v>
      </c>
      <c r="AI49" s="3">
        <f>IF(Table1[[#This Row],[Attendance Bracket]]="&gt;75%", 1, IF(Table1[[#This Row],[Attendance Bracket]]="50-75%", 0.8, 0.6))</f>
        <v>0.8</v>
      </c>
      <c r="AJ49" s="3">
        <v>3</v>
      </c>
      <c r="AK49" s="3" t="s">
        <v>634</v>
      </c>
      <c r="AL49" s="3">
        <f>VLOOKUP(C49,Table14[[#All],[Department]:[Publication_count]], 2, FALSE)</f>
        <v>3</v>
      </c>
      <c r="AM49" s="3">
        <v>4.6666666670000003</v>
      </c>
      <c r="AN49" s="3">
        <v>2.7179487180000002</v>
      </c>
    </row>
    <row r="50" spans="1:40" x14ac:dyDescent="0.25">
      <c r="A50" t="s">
        <v>75</v>
      </c>
      <c r="B50" t="s">
        <v>375</v>
      </c>
      <c r="C50" t="s">
        <v>629</v>
      </c>
      <c r="D50" s="5" t="s">
        <v>659</v>
      </c>
      <c r="E50" s="3">
        <v>4</v>
      </c>
      <c r="F50" s="3">
        <v>1</v>
      </c>
      <c r="G50" s="3">
        <v>2</v>
      </c>
      <c r="H50" s="3">
        <v>3</v>
      </c>
      <c r="I50" s="3">
        <v>4</v>
      </c>
      <c r="J50" s="3">
        <v>4</v>
      </c>
      <c r="K50" t="s">
        <v>632</v>
      </c>
      <c r="L50" s="3">
        <f t="shared" si="0"/>
        <v>1</v>
      </c>
      <c r="M50" s="3">
        <v>4</v>
      </c>
      <c r="N50" s="3">
        <v>4</v>
      </c>
      <c r="O50" s="3">
        <v>3</v>
      </c>
      <c r="P50" s="3">
        <v>5</v>
      </c>
      <c r="Q50" s="3">
        <v>1</v>
      </c>
      <c r="R50" s="3">
        <v>2</v>
      </c>
      <c r="S50" s="3">
        <v>2</v>
      </c>
      <c r="T50" s="3">
        <v>1</v>
      </c>
      <c r="U50" s="3">
        <v>1</v>
      </c>
      <c r="V50" t="s">
        <v>640</v>
      </c>
      <c r="W50" t="s">
        <v>641</v>
      </c>
      <c r="X50" t="s">
        <v>650</v>
      </c>
      <c r="Y50" t="s">
        <v>651</v>
      </c>
      <c r="Z50" t="s">
        <v>654</v>
      </c>
      <c r="AA50" s="3">
        <v>17</v>
      </c>
      <c r="AB50">
        <v>0</v>
      </c>
      <c r="AC50" s="3">
        <v>5</v>
      </c>
      <c r="AD50" t="s">
        <v>657</v>
      </c>
      <c r="AE50" s="3">
        <f t="shared" si="2"/>
        <v>1.25</v>
      </c>
      <c r="AF50" s="3">
        <f>AVERAGE(E50:U50)</f>
        <v>2.625</v>
      </c>
      <c r="AG50" s="3">
        <f>AVERAGEIF($C:$C, C50, $AE:$AE)</f>
        <v>1.2450000000000001</v>
      </c>
      <c r="AH50" s="3">
        <f t="shared" si="1"/>
        <v>1.38</v>
      </c>
      <c r="AI50" s="3">
        <f>IF(Table1[[#This Row],[Attendance Bracket]]="&gt;75%", 1, IF(Table1[[#This Row],[Attendance Bracket]]="50-75%", 0.8, 0.6))</f>
        <v>0.8</v>
      </c>
      <c r="AJ50" s="3">
        <v>2</v>
      </c>
      <c r="AK50" s="3" t="s">
        <v>684</v>
      </c>
      <c r="AL50" s="3">
        <f>VLOOKUP(C50,Table14[[#All],[Department]:[Publication_count]], 2, FALSE)</f>
        <v>3</v>
      </c>
      <c r="AM50" s="3">
        <v>4.6666666670000003</v>
      </c>
      <c r="AN50" s="3">
        <v>1.2179487179999999</v>
      </c>
    </row>
    <row r="51" spans="1:40" x14ac:dyDescent="0.25">
      <c r="A51" t="s">
        <v>76</v>
      </c>
      <c r="B51" t="s">
        <v>376</v>
      </c>
      <c r="C51" t="s">
        <v>629</v>
      </c>
      <c r="D51" s="5" t="s">
        <v>659</v>
      </c>
      <c r="E51" s="3">
        <v>3</v>
      </c>
      <c r="F51" s="3">
        <v>5</v>
      </c>
      <c r="G51" s="3">
        <v>2</v>
      </c>
      <c r="H51" s="3">
        <v>3</v>
      </c>
      <c r="I51" s="3">
        <v>3</v>
      </c>
      <c r="J51" s="3">
        <v>3</v>
      </c>
      <c r="K51" t="s">
        <v>634</v>
      </c>
      <c r="L51" s="3">
        <f t="shared" si="0"/>
        <v>3</v>
      </c>
      <c r="M51" s="3">
        <v>3</v>
      </c>
      <c r="N51" s="3">
        <v>4</v>
      </c>
      <c r="O51" s="3">
        <v>4</v>
      </c>
      <c r="P51" s="3">
        <v>1</v>
      </c>
      <c r="Q51" s="3">
        <v>5</v>
      </c>
      <c r="R51" s="3">
        <v>3</v>
      </c>
      <c r="S51" s="3">
        <v>2</v>
      </c>
      <c r="T51" s="3">
        <v>5</v>
      </c>
      <c r="U51" s="3">
        <v>4</v>
      </c>
      <c r="V51" t="s">
        <v>636</v>
      </c>
      <c r="W51" t="s">
        <v>641</v>
      </c>
      <c r="X51" t="s">
        <v>646</v>
      </c>
      <c r="Y51" t="s">
        <v>653</v>
      </c>
      <c r="Z51" t="s">
        <v>656</v>
      </c>
      <c r="AA51" s="3">
        <v>12</v>
      </c>
      <c r="AB51">
        <v>1</v>
      </c>
      <c r="AC51" s="3">
        <v>4</v>
      </c>
      <c r="AD51" t="s">
        <v>657</v>
      </c>
      <c r="AE51" s="3">
        <f t="shared" si="2"/>
        <v>1.25</v>
      </c>
      <c r="AF51" s="3">
        <f>AVERAGE(E51:U51)</f>
        <v>3.3125</v>
      </c>
      <c r="AG51" s="3">
        <f>AVERAGEIF($C:$C, C51, $AE:$AE)</f>
        <v>1.2450000000000001</v>
      </c>
      <c r="AH51" s="3">
        <f t="shared" si="1"/>
        <v>2.0674999999999999</v>
      </c>
      <c r="AI51" s="3">
        <f>IF(Table1[[#This Row],[Attendance Bracket]]="&gt;75%", 1, IF(Table1[[#This Row],[Attendance Bracket]]="50-75%", 0.8, 0.6))</f>
        <v>1</v>
      </c>
      <c r="AJ51" s="3">
        <v>2</v>
      </c>
      <c r="AK51" s="3" t="s">
        <v>684</v>
      </c>
      <c r="AL51" s="3">
        <f>VLOOKUP(C51,Table14[[#All],[Department]:[Publication_count]], 2, FALSE)</f>
        <v>3</v>
      </c>
      <c r="AM51" s="3">
        <v>4.6666666670000003</v>
      </c>
      <c r="AN51" s="3">
        <v>3.2179487180000002</v>
      </c>
    </row>
    <row r="52" spans="1:40" x14ac:dyDescent="0.25">
      <c r="A52" t="s">
        <v>77</v>
      </c>
      <c r="B52" t="s">
        <v>377</v>
      </c>
      <c r="C52" t="s">
        <v>627</v>
      </c>
      <c r="D52" s="5" t="s">
        <v>630</v>
      </c>
      <c r="E52" s="3">
        <v>5</v>
      </c>
      <c r="F52" s="3">
        <v>4</v>
      </c>
      <c r="G52" s="3">
        <v>1</v>
      </c>
      <c r="H52" s="3">
        <v>5</v>
      </c>
      <c r="I52" s="3">
        <v>5</v>
      </c>
      <c r="J52" s="3">
        <v>1</v>
      </c>
      <c r="K52" t="s">
        <v>632</v>
      </c>
      <c r="L52" s="3">
        <f t="shared" si="0"/>
        <v>1</v>
      </c>
      <c r="M52" s="3">
        <v>4</v>
      </c>
      <c r="N52" s="3">
        <v>5</v>
      </c>
      <c r="O52" s="3">
        <v>4</v>
      </c>
      <c r="P52" s="3">
        <v>3</v>
      </c>
      <c r="Q52" s="3">
        <v>2</v>
      </c>
      <c r="R52" s="3">
        <v>1</v>
      </c>
      <c r="S52" s="3">
        <v>2</v>
      </c>
      <c r="T52" s="3">
        <v>4</v>
      </c>
      <c r="U52" s="3">
        <v>5</v>
      </c>
      <c r="V52" t="s">
        <v>640</v>
      </c>
      <c r="W52" t="s">
        <v>644</v>
      </c>
      <c r="X52" t="s">
        <v>650</v>
      </c>
      <c r="Y52" t="s">
        <v>651</v>
      </c>
      <c r="Z52" t="s">
        <v>656</v>
      </c>
      <c r="AA52" s="3">
        <v>20</v>
      </c>
      <c r="AB52">
        <v>0</v>
      </c>
      <c r="AC52" s="3">
        <v>3</v>
      </c>
      <c r="AD52" t="s">
        <v>657</v>
      </c>
      <c r="AE52" s="3">
        <f t="shared" si="2"/>
        <v>1.25</v>
      </c>
      <c r="AF52" s="3">
        <f>AVERAGE(E52:U52)</f>
        <v>3.25</v>
      </c>
      <c r="AG52" s="3">
        <f>AVERAGEIF($C:$C, C52, $AE:$AE)</f>
        <v>1.25</v>
      </c>
      <c r="AH52" s="3">
        <f t="shared" si="1"/>
        <v>2</v>
      </c>
      <c r="AI52" s="3">
        <f>IF(Table1[[#This Row],[Attendance Bracket]]="&gt;75%", 1, IF(Table1[[#This Row],[Attendance Bracket]]="50-75%", 0.8, 0.6))</f>
        <v>0.8</v>
      </c>
      <c r="AJ52" s="3">
        <v>2</v>
      </c>
      <c r="AK52" s="3" t="s">
        <v>684</v>
      </c>
      <c r="AL52" s="3">
        <f>VLOOKUP(C52,Table14[[#All],[Department]:[Publication_count]], 2, FALSE)</f>
        <v>5</v>
      </c>
      <c r="AM52" s="3">
        <v>6.3333333329999997</v>
      </c>
      <c r="AN52" s="3">
        <v>2.9743589739999998</v>
      </c>
    </row>
    <row r="53" spans="1:40" x14ac:dyDescent="0.25">
      <c r="A53" t="s">
        <v>78</v>
      </c>
      <c r="B53" t="s">
        <v>378</v>
      </c>
      <c r="C53" t="s">
        <v>629</v>
      </c>
      <c r="D53" s="5" t="s">
        <v>659</v>
      </c>
      <c r="E53" s="3">
        <v>5</v>
      </c>
      <c r="F53" s="3">
        <v>5</v>
      </c>
      <c r="G53" s="3">
        <v>5</v>
      </c>
      <c r="H53" s="3">
        <v>4</v>
      </c>
      <c r="I53" s="3">
        <v>5</v>
      </c>
      <c r="J53" s="3">
        <v>2</v>
      </c>
      <c r="K53" t="s">
        <v>631</v>
      </c>
      <c r="L53" s="3">
        <f t="shared" si="0"/>
        <v>4</v>
      </c>
      <c r="M53" s="3">
        <v>1</v>
      </c>
      <c r="N53" s="3">
        <v>2</v>
      </c>
      <c r="O53" s="3">
        <v>4</v>
      </c>
      <c r="P53" s="3">
        <v>5</v>
      </c>
      <c r="Q53" s="3">
        <v>3</v>
      </c>
      <c r="R53" s="3">
        <v>2</v>
      </c>
      <c r="S53" s="3">
        <v>3</v>
      </c>
      <c r="T53" s="3">
        <v>3</v>
      </c>
      <c r="U53" s="3">
        <v>2</v>
      </c>
      <c r="V53" t="s">
        <v>638</v>
      </c>
      <c r="W53" t="s">
        <v>643</v>
      </c>
      <c r="X53" t="s">
        <v>650</v>
      </c>
      <c r="Y53" t="s">
        <v>653</v>
      </c>
      <c r="Z53" t="s">
        <v>655</v>
      </c>
      <c r="AA53" s="3">
        <v>6</v>
      </c>
      <c r="AB53">
        <v>0</v>
      </c>
      <c r="AC53" s="3">
        <v>4</v>
      </c>
      <c r="AD53" t="s">
        <v>657</v>
      </c>
      <c r="AE53" s="3">
        <f t="shared" si="2"/>
        <v>1.25</v>
      </c>
      <c r="AF53" s="3">
        <f>AVERAGE(E53:U53)</f>
        <v>3.4375</v>
      </c>
      <c r="AG53" s="3">
        <f>AVERAGEIF($C:$C, C53, $AE:$AE)</f>
        <v>1.2450000000000001</v>
      </c>
      <c r="AH53" s="3">
        <f t="shared" si="1"/>
        <v>2.1924999999999999</v>
      </c>
      <c r="AI53" s="3">
        <f>IF(Table1[[#This Row],[Attendance Bracket]]="&gt;75%", 1, IF(Table1[[#This Row],[Attendance Bracket]]="50-75%", 0.8, 0.6))</f>
        <v>1</v>
      </c>
      <c r="AJ53" s="3">
        <v>2</v>
      </c>
      <c r="AK53" s="3" t="s">
        <v>684</v>
      </c>
      <c r="AL53" s="3">
        <f>VLOOKUP(C53,Table14[[#All],[Department]:[Publication_count]], 2, FALSE)</f>
        <v>3</v>
      </c>
      <c r="AM53" s="3">
        <v>4.6666666670000003</v>
      </c>
      <c r="AN53" s="3">
        <v>3.2179487180000002</v>
      </c>
    </row>
    <row r="54" spans="1:40" x14ac:dyDescent="0.25">
      <c r="A54" t="s">
        <v>79</v>
      </c>
      <c r="B54" t="s">
        <v>379</v>
      </c>
      <c r="C54" t="s">
        <v>627</v>
      </c>
      <c r="D54" s="5" t="s">
        <v>660</v>
      </c>
      <c r="E54" s="3">
        <v>4</v>
      </c>
      <c r="F54" s="3">
        <v>3</v>
      </c>
      <c r="G54" s="3">
        <v>4</v>
      </c>
      <c r="H54" s="3">
        <v>2</v>
      </c>
      <c r="I54" s="3">
        <v>3</v>
      </c>
      <c r="J54" s="3">
        <v>1</v>
      </c>
      <c r="K54" t="s">
        <v>633</v>
      </c>
      <c r="L54" s="3">
        <f t="shared" si="0"/>
        <v>2</v>
      </c>
      <c r="M54" s="3">
        <v>1</v>
      </c>
      <c r="N54" s="3">
        <v>2</v>
      </c>
      <c r="O54" s="3">
        <v>2</v>
      </c>
      <c r="P54" s="3">
        <v>4</v>
      </c>
      <c r="Q54" s="3">
        <v>5</v>
      </c>
      <c r="R54" s="3">
        <v>2</v>
      </c>
      <c r="S54" s="3">
        <v>4</v>
      </c>
      <c r="T54" s="3">
        <v>1</v>
      </c>
      <c r="U54" s="3">
        <v>3</v>
      </c>
      <c r="V54" t="s">
        <v>638</v>
      </c>
      <c r="W54" t="s">
        <v>641</v>
      </c>
      <c r="X54" t="s">
        <v>648</v>
      </c>
      <c r="Y54" t="s">
        <v>652</v>
      </c>
      <c r="Z54" t="s">
        <v>656</v>
      </c>
      <c r="AA54" s="3">
        <v>14</v>
      </c>
      <c r="AB54">
        <v>0</v>
      </c>
      <c r="AC54" s="3">
        <v>3</v>
      </c>
      <c r="AD54" t="s">
        <v>657</v>
      </c>
      <c r="AE54" s="3">
        <f t="shared" si="2"/>
        <v>1.25</v>
      </c>
      <c r="AF54" s="3">
        <f>AVERAGE(E54:U54)</f>
        <v>2.6875</v>
      </c>
      <c r="AG54" s="3">
        <f>AVERAGEIF($C:$C, C54, $AE:$AE)</f>
        <v>1.25</v>
      </c>
      <c r="AH54" s="3">
        <f t="shared" si="1"/>
        <v>1.4375</v>
      </c>
      <c r="AI54" s="3">
        <f>IF(Table1[[#This Row],[Attendance Bracket]]="&gt;75%", 1, IF(Table1[[#This Row],[Attendance Bracket]]="50-75%", 0.8, 0.6))</f>
        <v>0.6</v>
      </c>
      <c r="AJ54" s="3">
        <v>2</v>
      </c>
      <c r="AK54" s="3" t="s">
        <v>684</v>
      </c>
      <c r="AL54" s="3">
        <f>VLOOKUP(C54,Table14[[#All],[Department]:[Publication_count]], 2, FALSE)</f>
        <v>5</v>
      </c>
      <c r="AM54" s="3">
        <v>6.3333333329999997</v>
      </c>
      <c r="AN54" s="3">
        <v>2.4743589739999998</v>
      </c>
    </row>
    <row r="55" spans="1:40" x14ac:dyDescent="0.25">
      <c r="A55" t="s">
        <v>80</v>
      </c>
      <c r="B55" t="s">
        <v>380</v>
      </c>
      <c r="C55" t="s">
        <v>629</v>
      </c>
      <c r="D55" s="5" t="s">
        <v>660</v>
      </c>
      <c r="E55" s="3">
        <v>1</v>
      </c>
      <c r="F55" s="3">
        <v>1</v>
      </c>
      <c r="G55" s="3">
        <v>1</v>
      </c>
      <c r="H55" s="3">
        <v>4</v>
      </c>
      <c r="I55" s="3">
        <v>3</v>
      </c>
      <c r="J55" s="3">
        <v>2</v>
      </c>
      <c r="K55" t="s">
        <v>631</v>
      </c>
      <c r="L55" s="3">
        <f t="shared" si="0"/>
        <v>4</v>
      </c>
      <c r="M55" s="3">
        <v>1</v>
      </c>
      <c r="N55" s="3">
        <v>4</v>
      </c>
      <c r="O55" s="3">
        <v>1</v>
      </c>
      <c r="P55" s="3">
        <v>2</v>
      </c>
      <c r="Q55" s="3">
        <v>5</v>
      </c>
      <c r="R55" s="3">
        <v>3</v>
      </c>
      <c r="S55" s="3">
        <v>5</v>
      </c>
      <c r="T55" s="3">
        <v>1</v>
      </c>
      <c r="U55" s="3">
        <v>1</v>
      </c>
      <c r="V55" t="s">
        <v>638</v>
      </c>
      <c r="W55" t="s">
        <v>644</v>
      </c>
      <c r="X55" t="s">
        <v>647</v>
      </c>
      <c r="Y55" t="s">
        <v>652</v>
      </c>
      <c r="Z55" t="s">
        <v>655</v>
      </c>
      <c r="AA55" s="3">
        <v>16</v>
      </c>
      <c r="AB55">
        <v>0</v>
      </c>
      <c r="AC55" s="3">
        <v>2</v>
      </c>
      <c r="AD55" t="s">
        <v>657</v>
      </c>
      <c r="AE55" s="3">
        <f t="shared" si="2"/>
        <v>1.25</v>
      </c>
      <c r="AF55" s="3">
        <f>AVERAGE(E55:U55)</f>
        <v>2.4375</v>
      </c>
      <c r="AG55" s="3">
        <f>AVERAGEIF($C:$C, C55, $AE:$AE)</f>
        <v>1.2450000000000001</v>
      </c>
      <c r="AH55" s="3">
        <f t="shared" si="1"/>
        <v>1.1924999999999999</v>
      </c>
      <c r="AI55" s="3">
        <f>IF(Table1[[#This Row],[Attendance Bracket]]="&gt;75%", 1, IF(Table1[[#This Row],[Attendance Bracket]]="50-75%", 0.8, 0.6))</f>
        <v>0.6</v>
      </c>
      <c r="AJ55" s="3">
        <v>2</v>
      </c>
      <c r="AK55" s="3" t="s">
        <v>684</v>
      </c>
      <c r="AL55" s="3">
        <f>VLOOKUP(C55,Table14[[#All],[Department]:[Publication_count]], 2, FALSE)</f>
        <v>3</v>
      </c>
      <c r="AM55" s="3">
        <v>4.6666666670000003</v>
      </c>
      <c r="AN55" s="3">
        <v>1.2179487179999999</v>
      </c>
    </row>
    <row r="56" spans="1:40" x14ac:dyDescent="0.25">
      <c r="A56" t="s">
        <v>81</v>
      </c>
      <c r="B56" t="s">
        <v>381</v>
      </c>
      <c r="C56" t="s">
        <v>629</v>
      </c>
      <c r="D56" s="5" t="s">
        <v>659</v>
      </c>
      <c r="E56" s="3">
        <v>1</v>
      </c>
      <c r="F56" s="3">
        <v>2</v>
      </c>
      <c r="G56" s="3">
        <v>1</v>
      </c>
      <c r="H56" s="3">
        <v>4</v>
      </c>
      <c r="I56" s="3">
        <v>3</v>
      </c>
      <c r="J56" s="3">
        <v>3</v>
      </c>
      <c r="K56" t="s">
        <v>634</v>
      </c>
      <c r="L56" s="3">
        <f t="shared" si="0"/>
        <v>3</v>
      </c>
      <c r="M56" s="3">
        <v>5</v>
      </c>
      <c r="N56" s="3">
        <v>2</v>
      </c>
      <c r="O56" s="3">
        <v>2</v>
      </c>
      <c r="P56" s="3">
        <v>5</v>
      </c>
      <c r="Q56" s="3">
        <v>2</v>
      </c>
      <c r="R56" s="3">
        <v>2</v>
      </c>
      <c r="S56" s="3">
        <v>4</v>
      </c>
      <c r="T56" s="3">
        <v>5</v>
      </c>
      <c r="U56" s="3">
        <v>1</v>
      </c>
      <c r="V56" t="s">
        <v>636</v>
      </c>
      <c r="W56" t="s">
        <v>642</v>
      </c>
      <c r="X56" t="s">
        <v>650</v>
      </c>
      <c r="Y56" t="s">
        <v>651</v>
      </c>
      <c r="Z56" t="s">
        <v>656</v>
      </c>
      <c r="AA56" s="3">
        <v>18</v>
      </c>
      <c r="AB56">
        <v>1</v>
      </c>
      <c r="AC56" s="3">
        <v>1</v>
      </c>
      <c r="AD56" t="s">
        <v>657</v>
      </c>
      <c r="AE56" s="3">
        <f t="shared" si="2"/>
        <v>1.25</v>
      </c>
      <c r="AF56" s="3">
        <f>AVERAGE(E56:U56)</f>
        <v>2.8125</v>
      </c>
      <c r="AG56" s="3">
        <f>AVERAGEIF($C:$C, C56, $AE:$AE)</f>
        <v>1.2450000000000001</v>
      </c>
      <c r="AH56" s="3">
        <f t="shared" si="1"/>
        <v>1.5674999999999999</v>
      </c>
      <c r="AI56" s="3">
        <f>IF(Table1[[#This Row],[Attendance Bracket]]="&gt;75%", 1, IF(Table1[[#This Row],[Attendance Bracket]]="50-75%", 0.8, 0.6))</f>
        <v>0.8</v>
      </c>
      <c r="AJ56" s="3">
        <v>1</v>
      </c>
      <c r="AK56" s="3" t="s">
        <v>684</v>
      </c>
      <c r="AL56" s="3">
        <f>VLOOKUP(C56,Table14[[#All],[Department]:[Publication_count]], 2, FALSE)</f>
        <v>3</v>
      </c>
      <c r="AM56" s="3">
        <v>4.6666666670000003</v>
      </c>
      <c r="AN56" s="3">
        <v>1.7179487179999999</v>
      </c>
    </row>
    <row r="57" spans="1:40" x14ac:dyDescent="0.25">
      <c r="A57" t="s">
        <v>82</v>
      </c>
      <c r="B57" t="s">
        <v>382</v>
      </c>
      <c r="C57" t="s">
        <v>629</v>
      </c>
      <c r="D57" s="5" t="s">
        <v>630</v>
      </c>
      <c r="E57" s="3">
        <v>2</v>
      </c>
      <c r="F57" s="3">
        <v>2</v>
      </c>
      <c r="G57" s="3">
        <v>4</v>
      </c>
      <c r="H57" s="3">
        <v>3</v>
      </c>
      <c r="I57" s="3">
        <v>1</v>
      </c>
      <c r="J57" s="3">
        <v>4</v>
      </c>
      <c r="K57" t="s">
        <v>631</v>
      </c>
      <c r="L57" s="3">
        <f t="shared" si="0"/>
        <v>4</v>
      </c>
      <c r="M57" s="3">
        <v>5</v>
      </c>
      <c r="N57" s="3">
        <v>1</v>
      </c>
      <c r="O57" s="3">
        <v>5</v>
      </c>
      <c r="P57" s="3">
        <v>1</v>
      </c>
      <c r="Q57" s="3">
        <v>1</v>
      </c>
      <c r="R57" s="3">
        <v>2</v>
      </c>
      <c r="S57" s="3">
        <v>5</v>
      </c>
      <c r="T57" s="3">
        <v>1</v>
      </c>
      <c r="U57" s="3">
        <v>3</v>
      </c>
      <c r="V57" t="s">
        <v>637</v>
      </c>
      <c r="W57" t="s">
        <v>642</v>
      </c>
      <c r="X57" t="s">
        <v>649</v>
      </c>
      <c r="Y57" t="s">
        <v>653</v>
      </c>
      <c r="Z57" t="s">
        <v>655</v>
      </c>
      <c r="AA57" s="3">
        <v>16</v>
      </c>
      <c r="AB57">
        <v>0</v>
      </c>
      <c r="AC57" s="3">
        <v>1</v>
      </c>
      <c r="AD57" t="s">
        <v>657</v>
      </c>
      <c r="AE57" s="3">
        <f t="shared" si="2"/>
        <v>1.25</v>
      </c>
      <c r="AF57" s="3">
        <f>AVERAGE(E57:U57)</f>
        <v>2.75</v>
      </c>
      <c r="AG57" s="3">
        <f>AVERAGEIF($C:$C, C57, $AE:$AE)</f>
        <v>1.2450000000000001</v>
      </c>
      <c r="AH57" s="3">
        <f t="shared" si="1"/>
        <v>1.5049999999999999</v>
      </c>
      <c r="AI57" s="3">
        <f>IF(Table1[[#This Row],[Attendance Bracket]]="&gt;75%", 1, IF(Table1[[#This Row],[Attendance Bracket]]="50-75%", 0.8, 0.6))</f>
        <v>1</v>
      </c>
      <c r="AJ57" s="3">
        <v>1</v>
      </c>
      <c r="AK57" s="3" t="s">
        <v>684</v>
      </c>
      <c r="AL57" s="3">
        <f>VLOOKUP(C57,Table14[[#All],[Department]:[Publication_count]], 2, FALSE)</f>
        <v>3</v>
      </c>
      <c r="AM57" s="3">
        <v>4.6666666670000003</v>
      </c>
      <c r="AN57" s="3">
        <v>1.7179487179999999</v>
      </c>
    </row>
    <row r="58" spans="1:40" x14ac:dyDescent="0.25">
      <c r="A58" t="s">
        <v>83</v>
      </c>
      <c r="B58" t="s">
        <v>383</v>
      </c>
      <c r="C58" t="s">
        <v>629</v>
      </c>
      <c r="D58" s="5" t="s">
        <v>659</v>
      </c>
      <c r="E58" s="3">
        <v>1</v>
      </c>
      <c r="F58" s="3">
        <v>4</v>
      </c>
      <c r="G58" s="3">
        <v>1</v>
      </c>
      <c r="H58" s="3">
        <v>1</v>
      </c>
      <c r="I58" s="3">
        <v>4</v>
      </c>
      <c r="J58" s="3">
        <v>4</v>
      </c>
      <c r="K58" t="s">
        <v>634</v>
      </c>
      <c r="L58" s="3">
        <f t="shared" si="0"/>
        <v>3</v>
      </c>
      <c r="M58" s="3">
        <v>5</v>
      </c>
      <c r="N58" s="3">
        <v>2</v>
      </c>
      <c r="O58" s="3">
        <v>2</v>
      </c>
      <c r="P58" s="3">
        <v>3</v>
      </c>
      <c r="Q58" s="3">
        <v>3</v>
      </c>
      <c r="R58" s="3">
        <v>1</v>
      </c>
      <c r="S58" s="3">
        <v>5</v>
      </c>
      <c r="T58" s="3">
        <v>2</v>
      </c>
      <c r="U58" s="3">
        <v>4</v>
      </c>
      <c r="V58" t="s">
        <v>637</v>
      </c>
      <c r="W58" t="s">
        <v>644</v>
      </c>
      <c r="X58" t="s">
        <v>647</v>
      </c>
      <c r="Y58" t="s">
        <v>653</v>
      </c>
      <c r="Z58" t="s">
        <v>654</v>
      </c>
      <c r="AA58" s="3">
        <v>8</v>
      </c>
      <c r="AB58">
        <v>1</v>
      </c>
      <c r="AC58" s="3">
        <v>1</v>
      </c>
      <c r="AD58" t="s">
        <v>657</v>
      </c>
      <c r="AE58" s="3">
        <f t="shared" si="2"/>
        <v>1.25</v>
      </c>
      <c r="AF58" s="3">
        <f>AVERAGE(E58:U58)</f>
        <v>2.8125</v>
      </c>
      <c r="AG58" s="3">
        <f>AVERAGEIF($C:$C, C58, $AE:$AE)</f>
        <v>1.2450000000000001</v>
      </c>
      <c r="AH58" s="3">
        <f t="shared" si="1"/>
        <v>1.5674999999999999</v>
      </c>
      <c r="AI58" s="3">
        <f>IF(Table1[[#This Row],[Attendance Bracket]]="&gt;75%", 1, IF(Table1[[#This Row],[Attendance Bracket]]="50-75%", 0.8, 0.6))</f>
        <v>1</v>
      </c>
      <c r="AJ58" s="3">
        <v>2</v>
      </c>
      <c r="AK58" s="3" t="s">
        <v>684</v>
      </c>
      <c r="AL58" s="3">
        <f>VLOOKUP(C58,Table14[[#All],[Department]:[Publication_count]], 2, FALSE)</f>
        <v>3</v>
      </c>
      <c r="AM58" s="3">
        <v>4.6666666670000003</v>
      </c>
      <c r="AN58" s="3">
        <v>2.7179487180000002</v>
      </c>
    </row>
    <row r="59" spans="1:40" x14ac:dyDescent="0.25">
      <c r="A59" t="s">
        <v>84</v>
      </c>
      <c r="B59" t="s">
        <v>384</v>
      </c>
      <c r="C59" t="s">
        <v>627</v>
      </c>
      <c r="D59" s="5" t="s">
        <v>630</v>
      </c>
      <c r="E59" s="3">
        <v>3</v>
      </c>
      <c r="F59" s="3">
        <v>3</v>
      </c>
      <c r="G59" s="3">
        <v>2</v>
      </c>
      <c r="H59" s="3">
        <v>2</v>
      </c>
      <c r="I59" s="3">
        <v>3</v>
      </c>
      <c r="J59" s="3">
        <v>3</v>
      </c>
      <c r="K59" t="s">
        <v>631</v>
      </c>
      <c r="L59" s="3">
        <f t="shared" si="0"/>
        <v>4</v>
      </c>
      <c r="M59" s="3">
        <v>1</v>
      </c>
      <c r="N59" s="3">
        <v>3</v>
      </c>
      <c r="O59" s="3">
        <v>1</v>
      </c>
      <c r="P59" s="3">
        <v>1</v>
      </c>
      <c r="Q59" s="3">
        <v>1</v>
      </c>
      <c r="R59" s="3">
        <v>4</v>
      </c>
      <c r="S59" s="3">
        <v>2</v>
      </c>
      <c r="T59" s="3">
        <v>5</v>
      </c>
      <c r="U59" s="3">
        <v>3</v>
      </c>
      <c r="V59" t="s">
        <v>637</v>
      </c>
      <c r="W59" t="s">
        <v>644</v>
      </c>
      <c r="X59" t="s">
        <v>646</v>
      </c>
      <c r="Y59" t="s">
        <v>653</v>
      </c>
      <c r="Z59" t="s">
        <v>656</v>
      </c>
      <c r="AA59" s="3">
        <v>16</v>
      </c>
      <c r="AB59">
        <v>1</v>
      </c>
      <c r="AC59" s="3">
        <v>1</v>
      </c>
      <c r="AD59" t="s">
        <v>657</v>
      </c>
      <c r="AE59" s="3">
        <f t="shared" si="2"/>
        <v>1.25</v>
      </c>
      <c r="AF59" s="3">
        <f>AVERAGE(E59:U59)</f>
        <v>2.5625</v>
      </c>
      <c r="AG59" s="3">
        <f>AVERAGEIF($C:$C, C59, $AE:$AE)</f>
        <v>1.25</v>
      </c>
      <c r="AH59" s="3">
        <f t="shared" si="1"/>
        <v>1.3125</v>
      </c>
      <c r="AI59" s="3">
        <f>IF(Table1[[#This Row],[Attendance Bracket]]="&gt;75%", 1, IF(Table1[[#This Row],[Attendance Bracket]]="50-75%", 0.8, 0.6))</f>
        <v>1</v>
      </c>
      <c r="AJ59" s="3">
        <v>2</v>
      </c>
      <c r="AK59" s="3" t="s">
        <v>684</v>
      </c>
      <c r="AL59" s="3">
        <f>VLOOKUP(C59,Table14[[#All],[Department]:[Publication_count]], 2, FALSE)</f>
        <v>5</v>
      </c>
      <c r="AM59" s="3">
        <v>6.3333333329999997</v>
      </c>
      <c r="AN59" s="3">
        <v>2.4743589739999998</v>
      </c>
    </row>
    <row r="60" spans="1:40" x14ac:dyDescent="0.25">
      <c r="A60" t="s">
        <v>85</v>
      </c>
      <c r="B60" t="s">
        <v>385</v>
      </c>
      <c r="C60" t="s">
        <v>628</v>
      </c>
      <c r="D60" s="5" t="s">
        <v>660</v>
      </c>
      <c r="E60" s="3">
        <v>4</v>
      </c>
      <c r="F60" s="3">
        <v>5</v>
      </c>
      <c r="G60" s="3">
        <v>1</v>
      </c>
      <c r="H60" s="3">
        <v>4</v>
      </c>
      <c r="I60" s="3">
        <v>1</v>
      </c>
      <c r="J60" s="3">
        <v>5</v>
      </c>
      <c r="K60" t="s">
        <v>631</v>
      </c>
      <c r="L60" s="3">
        <f t="shared" si="0"/>
        <v>4</v>
      </c>
      <c r="M60" s="3">
        <v>2</v>
      </c>
      <c r="N60" s="3">
        <v>4</v>
      </c>
      <c r="O60" s="3">
        <v>2</v>
      </c>
      <c r="P60" s="3">
        <v>5</v>
      </c>
      <c r="Q60" s="3">
        <v>3</v>
      </c>
      <c r="R60" s="3">
        <v>1</v>
      </c>
      <c r="S60" s="3">
        <v>5</v>
      </c>
      <c r="T60" s="3">
        <v>4</v>
      </c>
      <c r="U60" s="3">
        <v>2</v>
      </c>
      <c r="V60" t="s">
        <v>637</v>
      </c>
      <c r="W60" t="s">
        <v>642</v>
      </c>
      <c r="X60" t="s">
        <v>646</v>
      </c>
      <c r="Y60" t="s">
        <v>651</v>
      </c>
      <c r="Z60" t="s">
        <v>654</v>
      </c>
      <c r="AA60" s="3">
        <v>6</v>
      </c>
      <c r="AB60">
        <v>0</v>
      </c>
      <c r="AC60" s="3">
        <v>4</v>
      </c>
      <c r="AD60" t="s">
        <v>657</v>
      </c>
      <c r="AE60" s="3">
        <f>IF(AE62, 1.25, 1)</f>
        <v>1.25</v>
      </c>
      <c r="AF60" s="3">
        <f>AVERAGE(E60:U60)</f>
        <v>3.25</v>
      </c>
      <c r="AG60" s="3">
        <f>AVERAGEIF($C:$C, C60, $AE:$AE)</f>
        <v>1.25</v>
      </c>
      <c r="AH60" s="3">
        <f t="shared" si="1"/>
        <v>2</v>
      </c>
      <c r="AI60" s="3">
        <f>IF(Table1[[#This Row],[Attendance Bracket]]="&gt;75%", 1, IF(Table1[[#This Row],[Attendance Bracket]]="50-75%", 0.8, 0.6))</f>
        <v>0.8</v>
      </c>
      <c r="AJ60" s="3">
        <v>1</v>
      </c>
      <c r="AK60" s="3" t="s">
        <v>684</v>
      </c>
      <c r="AL60" s="3">
        <f>VLOOKUP(C60,Table14[[#All],[Department]:[Publication_count]], 2, FALSE)</f>
        <v>12</v>
      </c>
      <c r="AM60" s="3">
        <v>16.25</v>
      </c>
      <c r="AN60" s="3">
        <v>5</v>
      </c>
    </row>
    <row r="61" spans="1:40" x14ac:dyDescent="0.25">
      <c r="A61" t="s">
        <v>86</v>
      </c>
      <c r="B61" t="s">
        <v>386</v>
      </c>
      <c r="C61" t="s">
        <v>627</v>
      </c>
      <c r="D61" s="5" t="s">
        <v>660</v>
      </c>
      <c r="E61" s="3">
        <v>5</v>
      </c>
      <c r="F61" s="3">
        <v>1</v>
      </c>
      <c r="G61" s="3">
        <v>4</v>
      </c>
      <c r="H61" s="3">
        <v>5</v>
      </c>
      <c r="I61" s="3">
        <v>5</v>
      </c>
      <c r="J61" s="3">
        <v>2</v>
      </c>
      <c r="K61" t="s">
        <v>631</v>
      </c>
      <c r="L61" s="3">
        <f t="shared" si="0"/>
        <v>4</v>
      </c>
      <c r="M61" s="3">
        <v>3</v>
      </c>
      <c r="N61" s="3">
        <v>1</v>
      </c>
      <c r="O61" s="3">
        <v>4</v>
      </c>
      <c r="P61" s="3">
        <v>2</v>
      </c>
      <c r="Q61" s="3">
        <v>4</v>
      </c>
      <c r="R61" s="3">
        <v>4</v>
      </c>
      <c r="S61" s="3">
        <v>2</v>
      </c>
      <c r="T61" s="3">
        <v>2</v>
      </c>
      <c r="U61" s="3">
        <v>2</v>
      </c>
      <c r="V61" t="s">
        <v>637</v>
      </c>
      <c r="W61" t="s">
        <v>645</v>
      </c>
      <c r="X61" t="s">
        <v>649</v>
      </c>
      <c r="Y61" t="s">
        <v>653</v>
      </c>
      <c r="Z61" t="s">
        <v>656</v>
      </c>
      <c r="AA61" s="3">
        <v>8</v>
      </c>
      <c r="AB61">
        <v>0</v>
      </c>
      <c r="AC61" s="3">
        <v>4</v>
      </c>
      <c r="AD61" t="s">
        <v>657</v>
      </c>
      <c r="AE61" s="3">
        <f>IF(AE63, 1.25, 1)</f>
        <v>1.25</v>
      </c>
      <c r="AF61" s="3">
        <f>AVERAGE(E61:U61)</f>
        <v>3.125</v>
      </c>
      <c r="AG61" s="3">
        <f>AVERAGEIF($C:$C, C61, $AE:$AE)</f>
        <v>1.25</v>
      </c>
      <c r="AH61" s="3">
        <f t="shared" si="1"/>
        <v>1.875</v>
      </c>
      <c r="AI61" s="3">
        <f>IF(Table1[[#This Row],[Attendance Bracket]]="&gt;75%", 1, IF(Table1[[#This Row],[Attendance Bracket]]="50-75%", 0.8, 0.6))</f>
        <v>1</v>
      </c>
      <c r="AJ61" s="3">
        <v>3</v>
      </c>
      <c r="AK61" s="3" t="s">
        <v>634</v>
      </c>
      <c r="AL61" s="3">
        <f>VLOOKUP(C61,Table14[[#All],[Department]:[Publication_count]], 2, FALSE)</f>
        <v>5</v>
      </c>
      <c r="AM61" s="3">
        <v>6.3333333329999997</v>
      </c>
      <c r="AN61" s="3">
        <v>1.474358974</v>
      </c>
    </row>
    <row r="62" spans="1:40" x14ac:dyDescent="0.25">
      <c r="A62" t="s">
        <v>87</v>
      </c>
      <c r="B62" t="s">
        <v>387</v>
      </c>
      <c r="C62" t="s">
        <v>627</v>
      </c>
      <c r="D62" s="5" t="s">
        <v>660</v>
      </c>
      <c r="E62" s="3">
        <v>3</v>
      </c>
      <c r="F62" s="3">
        <v>5</v>
      </c>
      <c r="G62" s="3">
        <v>5</v>
      </c>
      <c r="H62" s="3">
        <v>3</v>
      </c>
      <c r="I62" s="3">
        <v>1</v>
      </c>
      <c r="J62" s="3">
        <v>2</v>
      </c>
      <c r="K62" t="s">
        <v>632</v>
      </c>
      <c r="L62" s="3">
        <f t="shared" si="0"/>
        <v>1</v>
      </c>
      <c r="M62" s="3">
        <v>2</v>
      </c>
      <c r="N62" s="3">
        <v>4</v>
      </c>
      <c r="O62" s="3">
        <v>2</v>
      </c>
      <c r="P62" s="3">
        <v>4</v>
      </c>
      <c r="Q62" s="3">
        <v>5</v>
      </c>
      <c r="R62" s="3">
        <v>3</v>
      </c>
      <c r="S62" s="3">
        <v>3</v>
      </c>
      <c r="T62" s="3">
        <v>1</v>
      </c>
      <c r="U62" s="3">
        <v>5</v>
      </c>
      <c r="V62" t="s">
        <v>639</v>
      </c>
      <c r="W62" t="s">
        <v>643</v>
      </c>
      <c r="X62" t="s">
        <v>648</v>
      </c>
      <c r="Y62" t="s">
        <v>652</v>
      </c>
      <c r="Z62" t="s">
        <v>655</v>
      </c>
      <c r="AA62" s="4">
        <v>5</v>
      </c>
      <c r="AB62">
        <v>0</v>
      </c>
      <c r="AC62" s="3">
        <v>4</v>
      </c>
      <c r="AD62" t="s">
        <v>657</v>
      </c>
      <c r="AE62" s="3">
        <f t="shared" si="2"/>
        <v>1.25</v>
      </c>
      <c r="AF62" s="3">
        <f>AVERAGE(E62:U62)</f>
        <v>3.0625</v>
      </c>
      <c r="AG62" s="3">
        <f>AVERAGEIF($C:$C, C62, $AE:$AE)</f>
        <v>1.25</v>
      </c>
      <c r="AH62" s="3">
        <f t="shared" si="1"/>
        <v>1.8125</v>
      </c>
      <c r="AI62" s="3">
        <f>IF(Table1[[#This Row],[Attendance Bracket]]="&gt;75%", 1, IF(Table1[[#This Row],[Attendance Bracket]]="50-75%", 0.8, 0.6))</f>
        <v>0.6</v>
      </c>
      <c r="AJ62" s="3">
        <v>2</v>
      </c>
      <c r="AK62" s="3" t="s">
        <v>684</v>
      </c>
      <c r="AL62" s="3">
        <f>VLOOKUP(C62,Table14[[#All],[Department]:[Publication_count]], 2, FALSE)</f>
        <v>5</v>
      </c>
      <c r="AM62" s="3">
        <v>6.3333333329999997</v>
      </c>
      <c r="AN62" s="3">
        <v>3.4743589739999998</v>
      </c>
    </row>
    <row r="63" spans="1:40" x14ac:dyDescent="0.25">
      <c r="A63" t="s">
        <v>88</v>
      </c>
      <c r="B63" t="s">
        <v>388</v>
      </c>
      <c r="C63" t="s">
        <v>629</v>
      </c>
      <c r="D63" s="5" t="s">
        <v>660</v>
      </c>
      <c r="E63" s="3">
        <v>1</v>
      </c>
      <c r="F63" s="3">
        <v>3</v>
      </c>
      <c r="G63" s="3">
        <v>4</v>
      </c>
      <c r="H63" s="3">
        <v>1</v>
      </c>
      <c r="I63" s="3">
        <v>1</v>
      </c>
      <c r="J63" s="3">
        <v>2</v>
      </c>
      <c r="K63" t="s">
        <v>635</v>
      </c>
      <c r="L63" s="3">
        <f t="shared" si="0"/>
        <v>5</v>
      </c>
      <c r="M63" s="3">
        <v>1</v>
      </c>
      <c r="N63" s="3">
        <v>4</v>
      </c>
      <c r="O63" s="3">
        <v>2</v>
      </c>
      <c r="P63" s="3">
        <v>3</v>
      </c>
      <c r="Q63" s="3">
        <v>2</v>
      </c>
      <c r="R63" s="3">
        <v>1</v>
      </c>
      <c r="S63" s="3">
        <v>5</v>
      </c>
      <c r="T63" s="3">
        <v>3</v>
      </c>
      <c r="U63" s="3">
        <v>3</v>
      </c>
      <c r="V63" t="s">
        <v>638</v>
      </c>
      <c r="W63" t="s">
        <v>641</v>
      </c>
      <c r="X63" t="s">
        <v>647</v>
      </c>
      <c r="Y63" t="s">
        <v>652</v>
      </c>
      <c r="Z63" t="s">
        <v>655</v>
      </c>
      <c r="AA63" s="3">
        <v>17</v>
      </c>
      <c r="AB63">
        <v>1</v>
      </c>
      <c r="AC63" s="3">
        <v>1</v>
      </c>
      <c r="AD63" t="s">
        <v>657</v>
      </c>
      <c r="AE63" s="3">
        <f t="shared" si="2"/>
        <v>1.25</v>
      </c>
      <c r="AF63" s="3">
        <f>AVERAGE(E63:U63)</f>
        <v>2.5625</v>
      </c>
      <c r="AG63" s="3">
        <f>AVERAGEIF($C:$C, C63, $AE:$AE)</f>
        <v>1.2450000000000001</v>
      </c>
      <c r="AH63" s="3">
        <f t="shared" si="1"/>
        <v>1.3174999999999999</v>
      </c>
      <c r="AI63" s="3">
        <f>IF(Table1[[#This Row],[Attendance Bracket]]="&gt;75%", 1, IF(Table1[[#This Row],[Attendance Bracket]]="50-75%", 0.8, 0.6))</f>
        <v>0.6</v>
      </c>
      <c r="AJ63" s="3">
        <v>2</v>
      </c>
      <c r="AK63" s="3" t="s">
        <v>684</v>
      </c>
      <c r="AL63" s="3">
        <f>VLOOKUP(C63,Table14[[#All],[Department]:[Publication_count]], 2, FALSE)</f>
        <v>3</v>
      </c>
      <c r="AM63" s="3">
        <v>4.6666666670000003</v>
      </c>
      <c r="AN63" s="3">
        <v>2.2179487180000002</v>
      </c>
    </row>
    <row r="64" spans="1:40" x14ac:dyDescent="0.25">
      <c r="A64" t="s">
        <v>89</v>
      </c>
      <c r="B64" t="s">
        <v>389</v>
      </c>
      <c r="C64" t="s">
        <v>628</v>
      </c>
      <c r="D64" s="5" t="s">
        <v>659</v>
      </c>
      <c r="E64" s="3">
        <v>5</v>
      </c>
      <c r="F64" s="3">
        <v>5</v>
      </c>
      <c r="G64" s="3">
        <v>1</v>
      </c>
      <c r="H64" s="3">
        <v>2</v>
      </c>
      <c r="I64" s="3">
        <v>4</v>
      </c>
      <c r="J64" s="3">
        <v>2</v>
      </c>
      <c r="K64" t="s">
        <v>634</v>
      </c>
      <c r="L64" s="3">
        <f t="shared" si="0"/>
        <v>3</v>
      </c>
      <c r="M64" s="3">
        <v>4</v>
      </c>
      <c r="N64" s="3">
        <v>4</v>
      </c>
      <c r="O64" s="3">
        <v>2</v>
      </c>
      <c r="P64" s="3">
        <v>3</v>
      </c>
      <c r="Q64" s="3">
        <v>1</v>
      </c>
      <c r="R64" s="3">
        <v>2</v>
      </c>
      <c r="S64" s="3">
        <v>5</v>
      </c>
      <c r="T64" s="3">
        <v>3</v>
      </c>
      <c r="U64" s="3">
        <v>3</v>
      </c>
      <c r="V64" t="s">
        <v>636</v>
      </c>
      <c r="W64" t="s">
        <v>641</v>
      </c>
      <c r="X64" t="s">
        <v>649</v>
      </c>
      <c r="Y64" t="s">
        <v>653</v>
      </c>
      <c r="Z64" t="s">
        <v>656</v>
      </c>
      <c r="AA64" s="3">
        <v>14</v>
      </c>
      <c r="AB64">
        <v>1</v>
      </c>
      <c r="AC64" s="3">
        <v>3</v>
      </c>
      <c r="AD64" t="s">
        <v>657</v>
      </c>
      <c r="AE64" s="3">
        <f t="shared" si="2"/>
        <v>1.25</v>
      </c>
      <c r="AF64" s="3">
        <f>AVERAGE(E64:U64)</f>
        <v>3.0625</v>
      </c>
      <c r="AG64" s="3">
        <f>AVERAGEIF($C:$C, C64, $AE:$AE)</f>
        <v>1.25</v>
      </c>
      <c r="AH64" s="3">
        <f t="shared" si="1"/>
        <v>1.8125</v>
      </c>
      <c r="AI64" s="3">
        <f>IF(Table1[[#This Row],[Attendance Bracket]]="&gt;75%", 1, IF(Table1[[#This Row],[Attendance Bracket]]="50-75%", 0.8, 0.6))</f>
        <v>1</v>
      </c>
      <c r="AJ64" s="3">
        <v>2</v>
      </c>
      <c r="AK64" s="3" t="s">
        <v>684</v>
      </c>
      <c r="AL64" s="3">
        <f>VLOOKUP(C64,Table14[[#All],[Department]:[Publication_count]], 2, FALSE)</f>
        <v>12</v>
      </c>
      <c r="AM64" s="3">
        <v>16.25</v>
      </c>
      <c r="AN64" s="3">
        <v>5</v>
      </c>
    </row>
    <row r="65" spans="1:40" x14ac:dyDescent="0.25">
      <c r="A65" t="s">
        <v>90</v>
      </c>
      <c r="B65" t="s">
        <v>390</v>
      </c>
      <c r="C65" t="s">
        <v>628</v>
      </c>
      <c r="D65" s="5" t="s">
        <v>659</v>
      </c>
      <c r="E65" s="3">
        <v>1</v>
      </c>
      <c r="F65" s="3">
        <v>5</v>
      </c>
      <c r="G65" s="3">
        <v>1</v>
      </c>
      <c r="H65" s="3">
        <v>1</v>
      </c>
      <c r="I65" s="3">
        <v>2</v>
      </c>
      <c r="J65" s="3">
        <v>3</v>
      </c>
      <c r="K65" t="s">
        <v>634</v>
      </c>
      <c r="L65" s="3">
        <f t="shared" si="0"/>
        <v>3</v>
      </c>
      <c r="M65" s="3">
        <v>1</v>
      </c>
      <c r="N65" s="3">
        <v>3</v>
      </c>
      <c r="O65" s="3">
        <v>1</v>
      </c>
      <c r="P65" s="3">
        <v>5</v>
      </c>
      <c r="Q65" s="3">
        <v>2</v>
      </c>
      <c r="R65" s="3">
        <v>3</v>
      </c>
      <c r="S65" s="3">
        <v>3</v>
      </c>
      <c r="T65" s="3">
        <v>4</v>
      </c>
      <c r="U65" s="3">
        <v>3</v>
      </c>
      <c r="V65" t="s">
        <v>637</v>
      </c>
      <c r="W65" t="s">
        <v>642</v>
      </c>
      <c r="X65" t="s">
        <v>650</v>
      </c>
      <c r="Y65" t="s">
        <v>651</v>
      </c>
      <c r="Z65" t="s">
        <v>654</v>
      </c>
      <c r="AA65" s="3">
        <v>13</v>
      </c>
      <c r="AB65">
        <v>1</v>
      </c>
      <c r="AC65" s="3">
        <v>3</v>
      </c>
      <c r="AD65" t="s">
        <v>657</v>
      </c>
      <c r="AE65" s="3">
        <f t="shared" si="2"/>
        <v>1.25</v>
      </c>
      <c r="AF65" s="3">
        <f>AVERAGE(E65:U65)</f>
        <v>2.5625</v>
      </c>
      <c r="AG65" s="3">
        <f>AVERAGEIF($C:$C, C65, $AE:$AE)</f>
        <v>1.25</v>
      </c>
      <c r="AH65" s="3">
        <f t="shared" si="1"/>
        <v>1.3125</v>
      </c>
      <c r="AI65" s="3">
        <f>IF(Table1[[#This Row],[Attendance Bracket]]="&gt;75%", 1, IF(Table1[[#This Row],[Attendance Bracket]]="50-75%", 0.8, 0.6))</f>
        <v>0.8</v>
      </c>
      <c r="AJ65" s="3">
        <v>1</v>
      </c>
      <c r="AK65" s="3" t="s">
        <v>684</v>
      </c>
      <c r="AL65" s="3">
        <f>VLOOKUP(C65,Table14[[#All],[Department]:[Publication_count]], 2, FALSE)</f>
        <v>12</v>
      </c>
      <c r="AM65" s="3">
        <v>16.25</v>
      </c>
      <c r="AN65" s="3">
        <v>5</v>
      </c>
    </row>
    <row r="66" spans="1:40" x14ac:dyDescent="0.25">
      <c r="A66" t="s">
        <v>91</v>
      </c>
      <c r="B66" t="s">
        <v>391</v>
      </c>
      <c r="C66" t="s">
        <v>627</v>
      </c>
      <c r="D66" s="5" t="s">
        <v>659</v>
      </c>
      <c r="E66" s="3">
        <v>2</v>
      </c>
      <c r="F66" s="3">
        <v>2</v>
      </c>
      <c r="G66" s="3">
        <v>5</v>
      </c>
      <c r="H66" s="3">
        <v>2</v>
      </c>
      <c r="I66" s="3">
        <v>2</v>
      </c>
      <c r="J66" s="3">
        <v>5</v>
      </c>
      <c r="K66" t="s">
        <v>632</v>
      </c>
      <c r="L66" s="3">
        <f t="shared" ref="L66:L129" si="3">IF(TRIM(K66)="Strongly Agree", 5, IF(TRIM(K66)="Agree", 4, IF(TRIM(K66)="Neutral", 3, IF(TRIM(K66)="Disagree", 2, IF(TRIM(K66)="Strongly Disagree", 1, 0)))))</f>
        <v>1</v>
      </c>
      <c r="M66" s="3">
        <v>1</v>
      </c>
      <c r="N66" s="3">
        <v>1</v>
      </c>
      <c r="O66" s="3">
        <v>1</v>
      </c>
      <c r="P66" s="3">
        <v>5</v>
      </c>
      <c r="Q66" s="3">
        <v>4</v>
      </c>
      <c r="R66" s="3">
        <v>4</v>
      </c>
      <c r="S66" s="3">
        <v>2</v>
      </c>
      <c r="T66" s="3">
        <v>5</v>
      </c>
      <c r="U66" s="3">
        <v>4</v>
      </c>
      <c r="V66" t="s">
        <v>640</v>
      </c>
      <c r="W66" t="s">
        <v>644</v>
      </c>
      <c r="X66" t="s">
        <v>649</v>
      </c>
      <c r="Y66" t="s">
        <v>652</v>
      </c>
      <c r="Z66" t="s">
        <v>654</v>
      </c>
      <c r="AA66" s="3">
        <v>6</v>
      </c>
      <c r="AB66">
        <v>0</v>
      </c>
      <c r="AC66" s="3">
        <v>3</v>
      </c>
      <c r="AD66" t="s">
        <v>657</v>
      </c>
      <c r="AE66" s="3">
        <f t="shared" si="2"/>
        <v>1.25</v>
      </c>
      <c r="AF66" s="3">
        <f>AVERAGE(E66:U66)</f>
        <v>2.875</v>
      </c>
      <c r="AG66" s="3">
        <f>AVERAGEIF($C:$C, C66, $AE:$AE)</f>
        <v>1.25</v>
      </c>
      <c r="AH66" s="3">
        <f t="shared" ref="AH66:AH129" si="4">AF66- AG66</f>
        <v>1.625</v>
      </c>
      <c r="AI66" s="3">
        <f>IF(Table1[[#This Row],[Attendance Bracket]]="&gt;75%", 1, IF(Table1[[#This Row],[Attendance Bracket]]="50-75%", 0.8, 0.6))</f>
        <v>0.6</v>
      </c>
      <c r="AJ66" s="3">
        <v>2</v>
      </c>
      <c r="AK66" s="3" t="s">
        <v>684</v>
      </c>
      <c r="AL66" s="3">
        <f>VLOOKUP(C66,Table14[[#All],[Department]:[Publication_count]], 2, FALSE)</f>
        <v>5</v>
      </c>
      <c r="AM66" s="3">
        <v>6.3333333329999997</v>
      </c>
      <c r="AN66" s="3">
        <v>1.974358974</v>
      </c>
    </row>
    <row r="67" spans="1:40" x14ac:dyDescent="0.25">
      <c r="A67" t="s">
        <v>92</v>
      </c>
      <c r="B67" t="s">
        <v>392</v>
      </c>
      <c r="C67" t="s">
        <v>628</v>
      </c>
      <c r="D67" s="5" t="s">
        <v>630</v>
      </c>
      <c r="E67" s="3">
        <v>1</v>
      </c>
      <c r="F67" s="3">
        <v>1</v>
      </c>
      <c r="G67" s="3">
        <v>1</v>
      </c>
      <c r="H67" s="3">
        <v>5</v>
      </c>
      <c r="I67" s="3">
        <v>5</v>
      </c>
      <c r="J67" s="3">
        <v>3</v>
      </c>
      <c r="K67" t="s">
        <v>632</v>
      </c>
      <c r="L67" s="3">
        <f t="shared" si="3"/>
        <v>1</v>
      </c>
      <c r="M67" s="3">
        <v>4</v>
      </c>
      <c r="N67" s="3">
        <v>1</v>
      </c>
      <c r="O67" s="3">
        <v>5</v>
      </c>
      <c r="P67" s="3">
        <v>1</v>
      </c>
      <c r="Q67" s="3">
        <v>1</v>
      </c>
      <c r="R67" s="3">
        <v>4</v>
      </c>
      <c r="S67" s="3">
        <v>5</v>
      </c>
      <c r="T67" s="3">
        <v>1</v>
      </c>
      <c r="U67" s="3">
        <v>4</v>
      </c>
      <c r="V67" t="s">
        <v>640</v>
      </c>
      <c r="W67" t="s">
        <v>642</v>
      </c>
      <c r="X67" t="s">
        <v>648</v>
      </c>
      <c r="Y67" t="s">
        <v>651</v>
      </c>
      <c r="Z67" t="s">
        <v>656</v>
      </c>
      <c r="AA67" s="3">
        <v>9</v>
      </c>
      <c r="AB67">
        <v>1</v>
      </c>
      <c r="AC67" s="3">
        <v>3</v>
      </c>
      <c r="AD67" t="s">
        <v>657</v>
      </c>
      <c r="AE67" s="3">
        <f t="shared" si="2"/>
        <v>1.25</v>
      </c>
      <c r="AF67" s="3">
        <f>AVERAGE(E67:U67)</f>
        <v>2.6875</v>
      </c>
      <c r="AG67" s="3">
        <f>AVERAGEIF($C:$C, C67, $AE:$AE)</f>
        <v>1.25</v>
      </c>
      <c r="AH67" s="3">
        <f t="shared" si="4"/>
        <v>1.4375</v>
      </c>
      <c r="AI67" s="3">
        <f>IF(Table1[[#This Row],[Attendance Bracket]]="&gt;75%", 1, IF(Table1[[#This Row],[Attendance Bracket]]="50-75%", 0.8, 0.6))</f>
        <v>0.8</v>
      </c>
      <c r="AJ67" s="3">
        <v>1</v>
      </c>
      <c r="AK67" s="3" t="s">
        <v>684</v>
      </c>
      <c r="AL67" s="3">
        <f>VLOOKUP(C67,Table14[[#All],[Department]:[Publication_count]], 2, FALSE)</f>
        <v>12</v>
      </c>
      <c r="AM67" s="3">
        <v>16.25</v>
      </c>
      <c r="AN67" s="3">
        <v>3</v>
      </c>
    </row>
    <row r="68" spans="1:40" x14ac:dyDescent="0.25">
      <c r="A68" t="s">
        <v>93</v>
      </c>
      <c r="B68" t="s">
        <v>393</v>
      </c>
      <c r="C68" t="s">
        <v>627</v>
      </c>
      <c r="D68" s="5" t="s">
        <v>660</v>
      </c>
      <c r="E68" s="3">
        <v>2</v>
      </c>
      <c r="F68" s="3">
        <v>3</v>
      </c>
      <c r="G68" s="3">
        <v>2</v>
      </c>
      <c r="H68" s="3">
        <v>3</v>
      </c>
      <c r="I68" s="3">
        <v>1</v>
      </c>
      <c r="J68" s="3">
        <v>4</v>
      </c>
      <c r="K68" t="s">
        <v>633</v>
      </c>
      <c r="L68" s="3">
        <f t="shared" si="3"/>
        <v>2</v>
      </c>
      <c r="M68" s="3">
        <v>5</v>
      </c>
      <c r="N68" s="3">
        <v>3</v>
      </c>
      <c r="O68" s="3">
        <v>5</v>
      </c>
      <c r="P68" s="3">
        <v>5</v>
      </c>
      <c r="Q68" s="3">
        <v>1</v>
      </c>
      <c r="R68" s="3">
        <v>5</v>
      </c>
      <c r="S68" s="3">
        <v>5</v>
      </c>
      <c r="T68" s="3">
        <v>1</v>
      </c>
      <c r="U68" s="3">
        <v>4</v>
      </c>
      <c r="V68" t="s">
        <v>639</v>
      </c>
      <c r="W68" t="s">
        <v>641</v>
      </c>
      <c r="X68" t="s">
        <v>646</v>
      </c>
      <c r="Y68" t="s">
        <v>653</v>
      </c>
      <c r="Z68" t="s">
        <v>654</v>
      </c>
      <c r="AA68" s="3">
        <v>8</v>
      </c>
      <c r="AB68">
        <v>0</v>
      </c>
      <c r="AC68" s="3">
        <v>4</v>
      </c>
      <c r="AD68" t="s">
        <v>657</v>
      </c>
      <c r="AE68" s="3">
        <f t="shared" ref="AE68:AE131" si="5">IF(AE70, 1.25, 1)</f>
        <v>1.25</v>
      </c>
      <c r="AF68" s="3">
        <f>AVERAGE(E68:U68)</f>
        <v>3.1875</v>
      </c>
      <c r="AG68" s="3">
        <f>AVERAGEIF($C:$C, C68, $AE:$AE)</f>
        <v>1.25</v>
      </c>
      <c r="AH68" s="3">
        <f t="shared" si="4"/>
        <v>1.9375</v>
      </c>
      <c r="AI68" s="3">
        <f>IF(Table1[[#This Row],[Attendance Bracket]]="&gt;75%", 1, IF(Table1[[#This Row],[Attendance Bracket]]="50-75%", 0.8, 0.6))</f>
        <v>1</v>
      </c>
      <c r="AJ68" s="3">
        <v>2</v>
      </c>
      <c r="AK68" s="3" t="s">
        <v>684</v>
      </c>
      <c r="AL68" s="3">
        <f>VLOOKUP(C68,Table14[[#All],[Department]:[Publication_count]], 2, FALSE)</f>
        <v>5</v>
      </c>
      <c r="AM68" s="3">
        <v>6.3333333329999997</v>
      </c>
      <c r="AN68" s="3">
        <v>2.4743589739999998</v>
      </c>
    </row>
    <row r="69" spans="1:40" x14ac:dyDescent="0.25">
      <c r="A69" t="s">
        <v>94</v>
      </c>
      <c r="B69" t="s">
        <v>394</v>
      </c>
      <c r="C69" t="s">
        <v>629</v>
      </c>
      <c r="D69" s="5" t="s">
        <v>659</v>
      </c>
      <c r="E69" s="3">
        <v>1</v>
      </c>
      <c r="F69" s="3">
        <v>5</v>
      </c>
      <c r="G69" s="3">
        <v>1</v>
      </c>
      <c r="H69" s="3">
        <v>2</v>
      </c>
      <c r="I69" s="3">
        <v>5</v>
      </c>
      <c r="J69" s="3">
        <v>4</v>
      </c>
      <c r="K69" t="s">
        <v>631</v>
      </c>
      <c r="L69" s="3">
        <f t="shared" si="3"/>
        <v>4</v>
      </c>
      <c r="M69" s="3">
        <v>5</v>
      </c>
      <c r="N69" s="3">
        <v>3</v>
      </c>
      <c r="O69" s="3">
        <v>3</v>
      </c>
      <c r="P69" s="3">
        <v>5</v>
      </c>
      <c r="Q69" s="3">
        <v>4</v>
      </c>
      <c r="R69" s="3">
        <v>4</v>
      </c>
      <c r="S69" s="3">
        <v>4</v>
      </c>
      <c r="T69" s="3">
        <v>5</v>
      </c>
      <c r="U69" s="3">
        <v>5</v>
      </c>
      <c r="V69" t="s">
        <v>638</v>
      </c>
      <c r="W69" t="s">
        <v>644</v>
      </c>
      <c r="X69" t="s">
        <v>650</v>
      </c>
      <c r="Y69" t="s">
        <v>652</v>
      </c>
      <c r="Z69" t="s">
        <v>654</v>
      </c>
      <c r="AA69" s="3">
        <v>13</v>
      </c>
      <c r="AB69">
        <v>1</v>
      </c>
      <c r="AC69" s="3">
        <v>2</v>
      </c>
      <c r="AD69" t="s">
        <v>657</v>
      </c>
      <c r="AE69" s="3">
        <f t="shared" si="5"/>
        <v>1.25</v>
      </c>
      <c r="AF69" s="3">
        <f>AVERAGE(E69:U69)</f>
        <v>3.75</v>
      </c>
      <c r="AG69" s="3">
        <f>AVERAGEIF($C:$C, C69, $AE:$AE)</f>
        <v>1.2450000000000001</v>
      </c>
      <c r="AH69" s="3">
        <f t="shared" si="4"/>
        <v>2.5049999999999999</v>
      </c>
      <c r="AI69" s="3">
        <f>IF(Table1[[#This Row],[Attendance Bracket]]="&gt;75%", 1, IF(Table1[[#This Row],[Attendance Bracket]]="50-75%", 0.8, 0.6))</f>
        <v>0.6</v>
      </c>
      <c r="AJ69" s="3">
        <v>2</v>
      </c>
      <c r="AK69" s="3" t="s">
        <v>684</v>
      </c>
      <c r="AL69" s="3">
        <f>VLOOKUP(C69,Table14[[#All],[Department]:[Publication_count]], 2, FALSE)</f>
        <v>3</v>
      </c>
      <c r="AM69" s="3">
        <v>4.6666666670000003</v>
      </c>
      <c r="AN69" s="3">
        <v>3.2179487180000002</v>
      </c>
    </row>
    <row r="70" spans="1:40" x14ac:dyDescent="0.25">
      <c r="A70" t="s">
        <v>95</v>
      </c>
      <c r="B70" t="s">
        <v>395</v>
      </c>
      <c r="C70" t="s">
        <v>627</v>
      </c>
      <c r="D70" s="5" t="s">
        <v>659</v>
      </c>
      <c r="E70" s="3">
        <v>2</v>
      </c>
      <c r="F70" s="3">
        <v>5</v>
      </c>
      <c r="G70" s="3">
        <v>5</v>
      </c>
      <c r="H70" s="3">
        <v>3</v>
      </c>
      <c r="I70" s="3">
        <v>5</v>
      </c>
      <c r="J70" s="3">
        <v>4</v>
      </c>
      <c r="K70" t="s">
        <v>633</v>
      </c>
      <c r="L70" s="3">
        <f t="shared" si="3"/>
        <v>2</v>
      </c>
      <c r="M70" s="3">
        <v>3</v>
      </c>
      <c r="N70" s="3">
        <v>4</v>
      </c>
      <c r="O70" s="3">
        <v>3</v>
      </c>
      <c r="P70" s="3">
        <v>1</v>
      </c>
      <c r="Q70" s="3">
        <v>3</v>
      </c>
      <c r="R70" s="3">
        <v>2</v>
      </c>
      <c r="S70" s="3">
        <v>3</v>
      </c>
      <c r="T70" s="3">
        <v>3</v>
      </c>
      <c r="U70" s="3">
        <v>4</v>
      </c>
      <c r="V70" t="s">
        <v>636</v>
      </c>
      <c r="W70" t="s">
        <v>642</v>
      </c>
      <c r="X70" t="s">
        <v>650</v>
      </c>
      <c r="Y70" t="s">
        <v>651</v>
      </c>
      <c r="Z70" t="s">
        <v>656</v>
      </c>
      <c r="AA70" s="3">
        <v>10</v>
      </c>
      <c r="AB70">
        <v>1</v>
      </c>
      <c r="AC70" s="3">
        <v>1</v>
      </c>
      <c r="AD70" t="s">
        <v>657</v>
      </c>
      <c r="AE70" s="3">
        <f>IF(AE72, 1.25, 1)</f>
        <v>1.25</v>
      </c>
      <c r="AF70" s="3">
        <f>AVERAGE(E70:U70)</f>
        <v>3.25</v>
      </c>
      <c r="AG70" s="3">
        <f>AVERAGEIF($C:$C, C70, $AE:$AE)</f>
        <v>1.25</v>
      </c>
      <c r="AH70" s="3">
        <f t="shared" si="4"/>
        <v>2</v>
      </c>
      <c r="AI70" s="3">
        <f>IF(Table1[[#This Row],[Attendance Bracket]]="&gt;75%", 1, IF(Table1[[#This Row],[Attendance Bracket]]="50-75%", 0.8, 0.6))</f>
        <v>0.8</v>
      </c>
      <c r="AJ70" s="3">
        <v>1</v>
      </c>
      <c r="AK70" s="3" t="s">
        <v>684</v>
      </c>
      <c r="AL70" s="3">
        <f>VLOOKUP(C70,Table14[[#All],[Department]:[Publication_count]], 2, FALSE)</f>
        <v>5</v>
      </c>
      <c r="AM70" s="3">
        <v>6.3333333329999997</v>
      </c>
      <c r="AN70" s="3">
        <v>3.4743589739999998</v>
      </c>
    </row>
    <row r="71" spans="1:40" x14ac:dyDescent="0.25">
      <c r="A71" t="s">
        <v>96</v>
      </c>
      <c r="B71" t="s">
        <v>396</v>
      </c>
      <c r="C71" t="s">
        <v>627</v>
      </c>
      <c r="D71" s="5" t="s">
        <v>659</v>
      </c>
      <c r="E71" s="3">
        <v>2</v>
      </c>
      <c r="F71" s="3">
        <v>4</v>
      </c>
      <c r="G71" s="3">
        <v>2</v>
      </c>
      <c r="H71" s="3">
        <v>3</v>
      </c>
      <c r="I71" s="3">
        <v>4</v>
      </c>
      <c r="J71" s="3">
        <v>2</v>
      </c>
      <c r="K71" t="s">
        <v>634</v>
      </c>
      <c r="L71" s="3">
        <f t="shared" si="3"/>
        <v>3</v>
      </c>
      <c r="M71" s="3">
        <v>2</v>
      </c>
      <c r="N71" s="3">
        <v>1</v>
      </c>
      <c r="O71" s="3">
        <v>3</v>
      </c>
      <c r="P71" s="3">
        <v>2</v>
      </c>
      <c r="Q71" s="3">
        <v>1</v>
      </c>
      <c r="R71" s="3">
        <v>2</v>
      </c>
      <c r="S71" s="3">
        <v>5</v>
      </c>
      <c r="T71" s="3">
        <v>1</v>
      </c>
      <c r="U71" s="3">
        <v>1</v>
      </c>
      <c r="V71" t="s">
        <v>639</v>
      </c>
      <c r="W71" t="s">
        <v>642</v>
      </c>
      <c r="X71" t="s">
        <v>648</v>
      </c>
      <c r="Y71" t="s">
        <v>651</v>
      </c>
      <c r="Z71" t="s">
        <v>655</v>
      </c>
      <c r="AA71" s="3">
        <v>7</v>
      </c>
      <c r="AB71">
        <v>0</v>
      </c>
      <c r="AC71" s="3">
        <v>4</v>
      </c>
      <c r="AD71" t="s">
        <v>657</v>
      </c>
      <c r="AE71" s="3">
        <f>IF(AE73, 1.25, 1)</f>
        <v>1.25</v>
      </c>
      <c r="AF71" s="3">
        <f>AVERAGE(E71:U71)</f>
        <v>2.375</v>
      </c>
      <c r="AG71" s="3">
        <f>AVERAGEIF($C:$C, C71, $AE:$AE)</f>
        <v>1.25</v>
      </c>
      <c r="AH71" s="3">
        <f t="shared" si="4"/>
        <v>1.125</v>
      </c>
      <c r="AI71" s="3">
        <f>IF(Table1[[#This Row],[Attendance Bracket]]="&gt;75%", 1, IF(Table1[[#This Row],[Attendance Bracket]]="50-75%", 0.8, 0.6))</f>
        <v>0.8</v>
      </c>
      <c r="AJ71" s="3">
        <v>1</v>
      </c>
      <c r="AK71" s="3" t="s">
        <v>684</v>
      </c>
      <c r="AL71" s="3">
        <f>VLOOKUP(C71,Table14[[#All],[Department]:[Publication_count]], 2, FALSE)</f>
        <v>5</v>
      </c>
      <c r="AM71" s="3">
        <v>6.3333333329999997</v>
      </c>
      <c r="AN71" s="3">
        <v>2.9743589739999998</v>
      </c>
    </row>
    <row r="72" spans="1:40" x14ac:dyDescent="0.25">
      <c r="A72" t="s">
        <v>97</v>
      </c>
      <c r="B72" t="s">
        <v>397</v>
      </c>
      <c r="C72" t="s">
        <v>628</v>
      </c>
      <c r="D72" s="5" t="s">
        <v>659</v>
      </c>
      <c r="E72" s="3">
        <v>1</v>
      </c>
      <c r="F72" s="3">
        <v>3</v>
      </c>
      <c r="G72" s="3">
        <v>1</v>
      </c>
      <c r="H72" s="3">
        <v>1</v>
      </c>
      <c r="I72" s="3">
        <v>4</v>
      </c>
      <c r="J72" s="3">
        <v>3</v>
      </c>
      <c r="K72" t="s">
        <v>632</v>
      </c>
      <c r="L72" s="3">
        <f t="shared" si="3"/>
        <v>1</v>
      </c>
      <c r="M72" s="3">
        <v>5</v>
      </c>
      <c r="N72" s="3">
        <v>5</v>
      </c>
      <c r="O72" s="3">
        <v>2</v>
      </c>
      <c r="P72" s="3">
        <v>1</v>
      </c>
      <c r="Q72" s="3">
        <v>5</v>
      </c>
      <c r="R72" s="3">
        <v>1</v>
      </c>
      <c r="S72" s="3">
        <v>2</v>
      </c>
      <c r="T72" s="3">
        <v>5</v>
      </c>
      <c r="U72" s="3">
        <v>1</v>
      </c>
      <c r="V72" t="s">
        <v>639</v>
      </c>
      <c r="W72" t="s">
        <v>641</v>
      </c>
      <c r="X72" t="s">
        <v>646</v>
      </c>
      <c r="Y72" t="s">
        <v>653</v>
      </c>
      <c r="Z72" t="s">
        <v>655</v>
      </c>
      <c r="AA72" s="4">
        <v>5</v>
      </c>
      <c r="AB72">
        <v>0</v>
      </c>
      <c r="AC72" s="3">
        <v>1</v>
      </c>
      <c r="AD72" t="s">
        <v>657</v>
      </c>
      <c r="AE72" s="3">
        <f t="shared" si="5"/>
        <v>1.25</v>
      </c>
      <c r="AF72" s="3">
        <f>AVERAGE(E72:U72)</f>
        <v>2.5625</v>
      </c>
      <c r="AG72" s="3">
        <f>AVERAGEIF($C:$C, C72, $AE:$AE)</f>
        <v>1.25</v>
      </c>
      <c r="AH72" s="3">
        <f t="shared" si="4"/>
        <v>1.3125</v>
      </c>
      <c r="AI72" s="3">
        <f>IF(Table1[[#This Row],[Attendance Bracket]]="&gt;75%", 1, IF(Table1[[#This Row],[Attendance Bracket]]="50-75%", 0.8, 0.6))</f>
        <v>1</v>
      </c>
      <c r="AJ72" s="3">
        <v>2</v>
      </c>
      <c r="AK72" s="3" t="s">
        <v>684</v>
      </c>
      <c r="AL72" s="3">
        <f>VLOOKUP(C72,Table14[[#All],[Department]:[Publication_count]], 2, FALSE)</f>
        <v>12</v>
      </c>
      <c r="AM72" s="3">
        <v>16.25</v>
      </c>
      <c r="AN72" s="3">
        <v>4</v>
      </c>
    </row>
    <row r="73" spans="1:40" x14ac:dyDescent="0.25">
      <c r="A73" t="s">
        <v>98</v>
      </c>
      <c r="B73" t="s">
        <v>398</v>
      </c>
      <c r="C73" t="s">
        <v>628</v>
      </c>
      <c r="D73" s="5" t="s">
        <v>660</v>
      </c>
      <c r="E73" s="3">
        <v>3</v>
      </c>
      <c r="F73" s="3">
        <v>5</v>
      </c>
      <c r="G73" s="3">
        <v>1</v>
      </c>
      <c r="H73" s="3">
        <v>1</v>
      </c>
      <c r="I73" s="3">
        <v>1</v>
      </c>
      <c r="J73" s="3">
        <v>2</v>
      </c>
      <c r="K73" t="s">
        <v>632</v>
      </c>
      <c r="L73" s="3">
        <f t="shared" si="3"/>
        <v>1</v>
      </c>
      <c r="M73" s="3">
        <v>4</v>
      </c>
      <c r="N73" s="3">
        <v>3</v>
      </c>
      <c r="O73" s="3">
        <v>2</v>
      </c>
      <c r="P73" s="3">
        <v>2</v>
      </c>
      <c r="Q73" s="3">
        <v>4</v>
      </c>
      <c r="R73" s="3">
        <v>3</v>
      </c>
      <c r="S73" s="3">
        <v>2</v>
      </c>
      <c r="T73" s="3">
        <v>4</v>
      </c>
      <c r="U73" s="3">
        <v>5</v>
      </c>
      <c r="V73" t="s">
        <v>636</v>
      </c>
      <c r="W73" t="s">
        <v>642</v>
      </c>
      <c r="X73" t="s">
        <v>650</v>
      </c>
      <c r="Y73" t="s">
        <v>651</v>
      </c>
      <c r="Z73" t="s">
        <v>655</v>
      </c>
      <c r="AA73" s="3">
        <v>15</v>
      </c>
      <c r="AB73">
        <v>0</v>
      </c>
      <c r="AC73" s="3">
        <v>3</v>
      </c>
      <c r="AD73" t="s">
        <v>657</v>
      </c>
      <c r="AE73" s="3">
        <f t="shared" si="5"/>
        <v>1.25</v>
      </c>
      <c r="AF73" s="3">
        <f>AVERAGE(E73:U73)</f>
        <v>2.6875</v>
      </c>
      <c r="AG73" s="3">
        <f>AVERAGEIF($C:$C, C73, $AE:$AE)</f>
        <v>1.25</v>
      </c>
      <c r="AH73" s="3">
        <f t="shared" si="4"/>
        <v>1.4375</v>
      </c>
      <c r="AI73" s="3">
        <f>IF(Table1[[#This Row],[Attendance Bracket]]="&gt;75%", 1, IF(Table1[[#This Row],[Attendance Bracket]]="50-75%", 0.8, 0.6))</f>
        <v>0.8</v>
      </c>
      <c r="AJ73" s="3">
        <v>1</v>
      </c>
      <c r="AK73" s="3" t="s">
        <v>684</v>
      </c>
      <c r="AL73" s="3">
        <f>VLOOKUP(C73,Table14[[#All],[Department]:[Publication_count]], 2, FALSE)</f>
        <v>12</v>
      </c>
      <c r="AM73" s="3">
        <v>16.25</v>
      </c>
      <c r="AN73" s="3">
        <v>5</v>
      </c>
    </row>
    <row r="74" spans="1:40" x14ac:dyDescent="0.25">
      <c r="A74" t="s">
        <v>99</v>
      </c>
      <c r="B74" t="s">
        <v>399</v>
      </c>
      <c r="C74" t="s">
        <v>627</v>
      </c>
      <c r="D74" s="5" t="s">
        <v>660</v>
      </c>
      <c r="E74" s="3">
        <v>1</v>
      </c>
      <c r="F74" s="3">
        <v>5</v>
      </c>
      <c r="G74" s="3">
        <v>3</v>
      </c>
      <c r="H74" s="3">
        <v>3</v>
      </c>
      <c r="I74" s="3">
        <v>5</v>
      </c>
      <c r="J74" s="3">
        <v>5</v>
      </c>
      <c r="K74" t="s">
        <v>632</v>
      </c>
      <c r="L74" s="3">
        <f t="shared" si="3"/>
        <v>1</v>
      </c>
      <c r="M74" s="3">
        <v>2</v>
      </c>
      <c r="N74" s="3">
        <v>5</v>
      </c>
      <c r="O74" s="3">
        <v>2</v>
      </c>
      <c r="P74" s="3">
        <v>3</v>
      </c>
      <c r="Q74" s="3">
        <v>2</v>
      </c>
      <c r="R74" s="3">
        <v>5</v>
      </c>
      <c r="S74" s="3">
        <v>5</v>
      </c>
      <c r="T74" s="3">
        <v>1</v>
      </c>
      <c r="U74" s="3">
        <v>2</v>
      </c>
      <c r="V74" t="s">
        <v>636</v>
      </c>
      <c r="W74" t="s">
        <v>644</v>
      </c>
      <c r="X74" t="s">
        <v>649</v>
      </c>
      <c r="Y74" t="s">
        <v>653</v>
      </c>
      <c r="Z74" t="s">
        <v>654</v>
      </c>
      <c r="AA74" s="3">
        <v>15</v>
      </c>
      <c r="AB74">
        <v>0</v>
      </c>
      <c r="AC74" s="3">
        <v>2</v>
      </c>
      <c r="AD74" t="s">
        <v>657</v>
      </c>
      <c r="AE74" s="3">
        <f t="shared" si="5"/>
        <v>1.25</v>
      </c>
      <c r="AF74" s="3">
        <f>AVERAGE(E74:U74)</f>
        <v>3.125</v>
      </c>
      <c r="AG74" s="3">
        <f>AVERAGEIF($C:$C, C74, $AE:$AE)</f>
        <v>1.25</v>
      </c>
      <c r="AH74" s="3">
        <f t="shared" si="4"/>
        <v>1.875</v>
      </c>
      <c r="AI74" s="3">
        <f>IF(Table1[[#This Row],[Attendance Bracket]]="&gt;75%", 1, IF(Table1[[#This Row],[Attendance Bracket]]="50-75%", 0.8, 0.6))</f>
        <v>1</v>
      </c>
      <c r="AJ74" s="3">
        <v>2</v>
      </c>
      <c r="AK74" s="3" t="s">
        <v>684</v>
      </c>
      <c r="AL74" s="3">
        <f>VLOOKUP(C74,Table14[[#All],[Department]:[Publication_count]], 2, FALSE)</f>
        <v>5</v>
      </c>
      <c r="AM74" s="3">
        <v>6.3333333329999997</v>
      </c>
      <c r="AN74" s="3">
        <v>3.4743589739999998</v>
      </c>
    </row>
    <row r="75" spans="1:40" x14ac:dyDescent="0.25">
      <c r="A75" t="s">
        <v>100</v>
      </c>
      <c r="B75" t="s">
        <v>400</v>
      </c>
      <c r="C75" t="s">
        <v>629</v>
      </c>
      <c r="D75" s="5" t="s">
        <v>659</v>
      </c>
      <c r="E75" s="3">
        <v>3</v>
      </c>
      <c r="F75" s="3">
        <v>2</v>
      </c>
      <c r="G75" s="3">
        <v>2</v>
      </c>
      <c r="H75" s="3">
        <v>5</v>
      </c>
      <c r="I75" s="3">
        <v>3</v>
      </c>
      <c r="J75" s="3">
        <v>5</v>
      </c>
      <c r="K75" t="s">
        <v>632</v>
      </c>
      <c r="L75" s="3">
        <f t="shared" si="3"/>
        <v>1</v>
      </c>
      <c r="M75" s="3">
        <v>5</v>
      </c>
      <c r="N75" s="3">
        <v>4</v>
      </c>
      <c r="O75" s="3">
        <v>5</v>
      </c>
      <c r="P75" s="3">
        <v>4</v>
      </c>
      <c r="Q75" s="3">
        <v>2</v>
      </c>
      <c r="R75" s="3">
        <v>5</v>
      </c>
      <c r="S75" s="3">
        <v>5</v>
      </c>
      <c r="T75" s="3">
        <v>2</v>
      </c>
      <c r="U75" s="3">
        <v>4</v>
      </c>
      <c r="V75" t="s">
        <v>638</v>
      </c>
      <c r="W75" t="s">
        <v>645</v>
      </c>
      <c r="X75" t="s">
        <v>648</v>
      </c>
      <c r="Y75" t="s">
        <v>651</v>
      </c>
      <c r="Z75" t="s">
        <v>656</v>
      </c>
      <c r="AA75" s="3">
        <v>13</v>
      </c>
      <c r="AB75">
        <v>1</v>
      </c>
      <c r="AC75" s="3">
        <v>5</v>
      </c>
      <c r="AD75" t="s">
        <v>657</v>
      </c>
      <c r="AE75" s="3">
        <f t="shared" si="5"/>
        <v>1.25</v>
      </c>
      <c r="AF75" s="3">
        <f>AVERAGE(E75:U75)</f>
        <v>3.5625</v>
      </c>
      <c r="AG75" s="3">
        <f>AVERAGEIF($C:$C, C75, $AE:$AE)</f>
        <v>1.2450000000000001</v>
      </c>
      <c r="AH75" s="3">
        <f t="shared" si="4"/>
        <v>2.3174999999999999</v>
      </c>
      <c r="AI75" s="3">
        <f>IF(Table1[[#This Row],[Attendance Bracket]]="&gt;75%", 1, IF(Table1[[#This Row],[Attendance Bracket]]="50-75%", 0.8, 0.6))</f>
        <v>0.8</v>
      </c>
      <c r="AJ75" s="3">
        <v>3</v>
      </c>
      <c r="AK75" s="3" t="s">
        <v>634</v>
      </c>
      <c r="AL75" s="3">
        <f>VLOOKUP(C75,Table14[[#All],[Department]:[Publication_count]], 2, FALSE)</f>
        <v>3</v>
      </c>
      <c r="AM75" s="3">
        <v>4.6666666670000003</v>
      </c>
      <c r="AN75" s="3">
        <v>1.7179487179999999</v>
      </c>
    </row>
    <row r="76" spans="1:40" x14ac:dyDescent="0.25">
      <c r="A76" t="s">
        <v>101</v>
      </c>
      <c r="B76" t="s">
        <v>401</v>
      </c>
      <c r="C76" t="s">
        <v>628</v>
      </c>
      <c r="D76" s="5" t="s">
        <v>660</v>
      </c>
      <c r="E76" s="3">
        <v>4</v>
      </c>
      <c r="F76" s="3">
        <v>1</v>
      </c>
      <c r="G76" s="3">
        <v>3</v>
      </c>
      <c r="H76" s="3">
        <v>2</v>
      </c>
      <c r="I76" s="3">
        <v>4</v>
      </c>
      <c r="J76" s="3">
        <v>4</v>
      </c>
      <c r="K76" t="s">
        <v>635</v>
      </c>
      <c r="L76" s="3">
        <f t="shared" si="3"/>
        <v>5</v>
      </c>
      <c r="M76" s="3">
        <v>1</v>
      </c>
      <c r="N76" s="3">
        <v>5</v>
      </c>
      <c r="O76" s="3">
        <v>3</v>
      </c>
      <c r="P76" s="3">
        <v>2</v>
      </c>
      <c r="Q76" s="3">
        <v>2</v>
      </c>
      <c r="R76" s="3">
        <v>5</v>
      </c>
      <c r="S76" s="3">
        <v>4</v>
      </c>
      <c r="T76" s="3">
        <v>2</v>
      </c>
      <c r="U76" s="3">
        <v>1</v>
      </c>
      <c r="V76" t="s">
        <v>639</v>
      </c>
      <c r="W76" t="s">
        <v>644</v>
      </c>
      <c r="X76" t="s">
        <v>648</v>
      </c>
      <c r="Y76" t="s">
        <v>652</v>
      </c>
      <c r="Z76" t="s">
        <v>654</v>
      </c>
      <c r="AA76" s="3">
        <v>8</v>
      </c>
      <c r="AB76">
        <v>1</v>
      </c>
      <c r="AC76" s="3">
        <v>4</v>
      </c>
      <c r="AD76" t="s">
        <v>657</v>
      </c>
      <c r="AE76" s="3">
        <f t="shared" si="5"/>
        <v>1.25</v>
      </c>
      <c r="AF76" s="3">
        <f>AVERAGE(E76:U76)</f>
        <v>3</v>
      </c>
      <c r="AG76" s="3">
        <f>AVERAGEIF($C:$C, C76, $AE:$AE)</f>
        <v>1.25</v>
      </c>
      <c r="AH76" s="3">
        <f t="shared" si="4"/>
        <v>1.75</v>
      </c>
      <c r="AI76" s="3">
        <f>IF(Table1[[#This Row],[Attendance Bracket]]="&gt;75%", 1, IF(Table1[[#This Row],[Attendance Bracket]]="50-75%", 0.8, 0.6))</f>
        <v>0.6</v>
      </c>
      <c r="AJ76" s="3">
        <v>2</v>
      </c>
      <c r="AK76" s="3" t="s">
        <v>684</v>
      </c>
      <c r="AL76" s="3">
        <f>VLOOKUP(C76,Table14[[#All],[Department]:[Publication_count]], 2, FALSE)</f>
        <v>12</v>
      </c>
      <c r="AM76" s="3">
        <v>16.25</v>
      </c>
      <c r="AN76" s="3">
        <v>3</v>
      </c>
    </row>
    <row r="77" spans="1:40" x14ac:dyDescent="0.25">
      <c r="A77" t="s">
        <v>102</v>
      </c>
      <c r="B77" t="s">
        <v>402</v>
      </c>
      <c r="C77" t="s">
        <v>628</v>
      </c>
      <c r="D77" s="5" t="s">
        <v>659</v>
      </c>
      <c r="E77" s="3">
        <v>2</v>
      </c>
      <c r="F77" s="3">
        <v>1</v>
      </c>
      <c r="G77" s="3">
        <v>1</v>
      </c>
      <c r="H77" s="3">
        <v>5</v>
      </c>
      <c r="I77" s="3">
        <v>3</v>
      </c>
      <c r="J77" s="3">
        <v>2</v>
      </c>
      <c r="K77" t="s">
        <v>635</v>
      </c>
      <c r="L77" s="3">
        <f t="shared" si="3"/>
        <v>5</v>
      </c>
      <c r="M77" s="3">
        <v>4</v>
      </c>
      <c r="N77" s="3">
        <v>4</v>
      </c>
      <c r="O77" s="3">
        <v>3</v>
      </c>
      <c r="P77" s="3">
        <v>3</v>
      </c>
      <c r="Q77" s="3">
        <v>3</v>
      </c>
      <c r="R77" s="3">
        <v>5</v>
      </c>
      <c r="S77" s="3">
        <v>5</v>
      </c>
      <c r="T77" s="3">
        <v>3</v>
      </c>
      <c r="U77" s="3">
        <v>4</v>
      </c>
      <c r="V77" t="s">
        <v>639</v>
      </c>
      <c r="W77" t="s">
        <v>644</v>
      </c>
      <c r="X77" t="s">
        <v>649</v>
      </c>
      <c r="Y77" t="s">
        <v>653</v>
      </c>
      <c r="Z77" t="s">
        <v>656</v>
      </c>
      <c r="AA77" s="3">
        <v>20</v>
      </c>
      <c r="AB77">
        <v>1</v>
      </c>
      <c r="AC77" s="3">
        <v>3</v>
      </c>
      <c r="AD77" t="s">
        <v>657</v>
      </c>
      <c r="AE77" s="3">
        <f t="shared" si="5"/>
        <v>1.25</v>
      </c>
      <c r="AF77" s="3">
        <f>AVERAGE(E77:U77)</f>
        <v>3.3125</v>
      </c>
      <c r="AG77" s="3">
        <f>AVERAGEIF($C:$C, C77, $AE:$AE)</f>
        <v>1.25</v>
      </c>
      <c r="AH77" s="3">
        <f t="shared" si="4"/>
        <v>2.0625</v>
      </c>
      <c r="AI77" s="3">
        <f>IF(Table1[[#This Row],[Attendance Bracket]]="&gt;75%", 1, IF(Table1[[#This Row],[Attendance Bracket]]="50-75%", 0.8, 0.6))</f>
        <v>1</v>
      </c>
      <c r="AJ77" s="3">
        <v>2</v>
      </c>
      <c r="AK77" s="3" t="s">
        <v>684</v>
      </c>
      <c r="AL77" s="3">
        <f>VLOOKUP(C77,Table14[[#All],[Department]:[Publication_count]], 2, FALSE)</f>
        <v>12</v>
      </c>
      <c r="AM77" s="3">
        <v>16.25</v>
      </c>
      <c r="AN77" s="3">
        <v>3</v>
      </c>
    </row>
    <row r="78" spans="1:40" x14ac:dyDescent="0.25">
      <c r="A78" t="s">
        <v>103</v>
      </c>
      <c r="B78" t="s">
        <v>403</v>
      </c>
      <c r="C78" t="s">
        <v>628</v>
      </c>
      <c r="D78" s="5" t="s">
        <v>659</v>
      </c>
      <c r="E78" s="3">
        <v>1</v>
      </c>
      <c r="F78" s="3">
        <v>2</v>
      </c>
      <c r="G78" s="3">
        <v>4</v>
      </c>
      <c r="H78" s="3">
        <v>4</v>
      </c>
      <c r="I78" s="3">
        <v>4</v>
      </c>
      <c r="J78" s="3">
        <v>1</v>
      </c>
      <c r="K78" t="s">
        <v>635</v>
      </c>
      <c r="L78" s="3">
        <f t="shared" si="3"/>
        <v>5</v>
      </c>
      <c r="M78" s="3">
        <v>3</v>
      </c>
      <c r="N78" s="3">
        <v>5</v>
      </c>
      <c r="O78" s="3">
        <v>4</v>
      </c>
      <c r="P78" s="3">
        <v>1</v>
      </c>
      <c r="Q78" s="3">
        <v>2</v>
      </c>
      <c r="R78" s="3">
        <v>5</v>
      </c>
      <c r="S78" s="3">
        <v>2</v>
      </c>
      <c r="T78" s="3">
        <v>5</v>
      </c>
      <c r="U78" s="3">
        <v>4</v>
      </c>
      <c r="V78" t="s">
        <v>636</v>
      </c>
      <c r="W78" t="s">
        <v>641</v>
      </c>
      <c r="X78" t="s">
        <v>649</v>
      </c>
      <c r="Y78" t="s">
        <v>651</v>
      </c>
      <c r="Z78" t="s">
        <v>654</v>
      </c>
      <c r="AA78" s="3">
        <v>15</v>
      </c>
      <c r="AB78">
        <v>0</v>
      </c>
      <c r="AC78" s="3">
        <v>3</v>
      </c>
      <c r="AD78" t="s">
        <v>657</v>
      </c>
      <c r="AE78" s="3">
        <f>IF(AE80, 1.25, 1)</f>
        <v>1.25</v>
      </c>
      <c r="AF78" s="3">
        <f>AVERAGE(E78:U78)</f>
        <v>3.25</v>
      </c>
      <c r="AG78" s="3">
        <f>AVERAGEIF($C:$C, C78, $AE:$AE)</f>
        <v>1.25</v>
      </c>
      <c r="AH78" s="3">
        <f t="shared" si="4"/>
        <v>2</v>
      </c>
      <c r="AI78" s="3">
        <f>IF(Table1[[#This Row],[Attendance Bracket]]="&gt;75%", 1, IF(Table1[[#This Row],[Attendance Bracket]]="50-75%", 0.8, 0.6))</f>
        <v>0.8</v>
      </c>
      <c r="AJ78" s="3">
        <v>2</v>
      </c>
      <c r="AK78" s="3" t="s">
        <v>684</v>
      </c>
      <c r="AL78" s="3">
        <f>VLOOKUP(C78,Table14[[#All],[Department]:[Publication_count]], 2, FALSE)</f>
        <v>12</v>
      </c>
      <c r="AM78" s="3">
        <v>16.25</v>
      </c>
      <c r="AN78" s="3">
        <v>3.5</v>
      </c>
    </row>
    <row r="79" spans="1:40" x14ac:dyDescent="0.25">
      <c r="A79" t="s">
        <v>104</v>
      </c>
      <c r="B79" t="s">
        <v>404</v>
      </c>
      <c r="C79" t="s">
        <v>629</v>
      </c>
      <c r="D79" s="5" t="s">
        <v>660</v>
      </c>
      <c r="E79" s="3">
        <v>3</v>
      </c>
      <c r="F79" s="3">
        <v>1</v>
      </c>
      <c r="G79" s="3">
        <v>2</v>
      </c>
      <c r="H79" s="3">
        <v>3</v>
      </c>
      <c r="I79" s="3">
        <v>4</v>
      </c>
      <c r="J79" s="3">
        <v>1</v>
      </c>
      <c r="K79" t="s">
        <v>635</v>
      </c>
      <c r="L79" s="3">
        <f t="shared" si="3"/>
        <v>5</v>
      </c>
      <c r="M79" s="3">
        <v>2</v>
      </c>
      <c r="N79" s="3">
        <v>3</v>
      </c>
      <c r="O79" s="3">
        <v>3</v>
      </c>
      <c r="P79" s="3">
        <v>5</v>
      </c>
      <c r="Q79" s="3">
        <v>5</v>
      </c>
      <c r="R79" s="3">
        <v>3</v>
      </c>
      <c r="S79" s="3">
        <v>1</v>
      </c>
      <c r="T79" s="3">
        <v>4</v>
      </c>
      <c r="U79" s="3">
        <v>2</v>
      </c>
      <c r="V79" t="s">
        <v>638</v>
      </c>
      <c r="W79" t="s">
        <v>645</v>
      </c>
      <c r="X79" t="s">
        <v>647</v>
      </c>
      <c r="Y79" t="s">
        <v>653</v>
      </c>
      <c r="Z79" t="s">
        <v>656</v>
      </c>
      <c r="AA79" s="3">
        <v>20</v>
      </c>
      <c r="AB79">
        <v>1</v>
      </c>
      <c r="AC79" s="3">
        <v>1</v>
      </c>
      <c r="AD79" t="s">
        <v>657</v>
      </c>
      <c r="AE79" s="3">
        <f>IF(AE81, 1.25, 1)</f>
        <v>1.25</v>
      </c>
      <c r="AF79" s="3">
        <f>AVERAGE(E79:U79)</f>
        <v>2.9375</v>
      </c>
      <c r="AG79" s="3">
        <f>AVERAGEIF($C:$C, C79, $AE:$AE)</f>
        <v>1.2450000000000001</v>
      </c>
      <c r="AH79" s="3">
        <f t="shared" si="4"/>
        <v>1.6924999999999999</v>
      </c>
      <c r="AI79" s="3">
        <f>IF(Table1[[#This Row],[Attendance Bracket]]="&gt;75%", 1, IF(Table1[[#This Row],[Attendance Bracket]]="50-75%", 0.8, 0.6))</f>
        <v>1</v>
      </c>
      <c r="AJ79" s="3">
        <v>3</v>
      </c>
      <c r="AK79" s="3" t="s">
        <v>634</v>
      </c>
      <c r="AL79" s="3">
        <f>VLOOKUP(C79,Table14[[#All],[Department]:[Publication_count]], 2, FALSE)</f>
        <v>3</v>
      </c>
      <c r="AM79" s="3">
        <v>4.6666666670000003</v>
      </c>
      <c r="AN79" s="3">
        <v>1.2179487179999999</v>
      </c>
    </row>
    <row r="80" spans="1:40" x14ac:dyDescent="0.25">
      <c r="A80" t="s">
        <v>105</v>
      </c>
      <c r="B80" t="s">
        <v>405</v>
      </c>
      <c r="C80" t="s">
        <v>628</v>
      </c>
      <c r="D80" s="5" t="s">
        <v>660</v>
      </c>
      <c r="E80" s="3">
        <v>1</v>
      </c>
      <c r="F80" s="3">
        <v>3</v>
      </c>
      <c r="G80" s="3">
        <v>3</v>
      </c>
      <c r="H80" s="3">
        <v>4</v>
      </c>
      <c r="I80" s="3">
        <v>5</v>
      </c>
      <c r="J80" s="3">
        <v>4</v>
      </c>
      <c r="K80" t="s">
        <v>632</v>
      </c>
      <c r="L80" s="3">
        <f t="shared" si="3"/>
        <v>1</v>
      </c>
      <c r="M80" s="3">
        <v>3</v>
      </c>
      <c r="N80" s="3">
        <v>5</v>
      </c>
      <c r="O80" s="3">
        <v>4</v>
      </c>
      <c r="P80" s="3">
        <v>4</v>
      </c>
      <c r="Q80" s="3">
        <v>3</v>
      </c>
      <c r="R80" s="3">
        <v>2</v>
      </c>
      <c r="S80" s="3">
        <v>4</v>
      </c>
      <c r="T80" s="3">
        <v>4</v>
      </c>
      <c r="U80" s="3">
        <v>1</v>
      </c>
      <c r="V80" t="s">
        <v>637</v>
      </c>
      <c r="W80" t="s">
        <v>644</v>
      </c>
      <c r="X80" t="s">
        <v>650</v>
      </c>
      <c r="Y80" t="s">
        <v>651</v>
      </c>
      <c r="Z80" t="s">
        <v>654</v>
      </c>
      <c r="AA80" s="4">
        <v>5</v>
      </c>
      <c r="AB80">
        <v>1</v>
      </c>
      <c r="AC80" s="3">
        <v>3</v>
      </c>
      <c r="AD80" t="s">
        <v>657</v>
      </c>
      <c r="AE80" s="3">
        <f t="shared" si="5"/>
        <v>1.25</v>
      </c>
      <c r="AF80" s="3">
        <f>AVERAGE(E80:U80)</f>
        <v>3.1875</v>
      </c>
      <c r="AG80" s="3">
        <f>AVERAGEIF($C:$C, C80, $AE:$AE)</f>
        <v>1.25</v>
      </c>
      <c r="AH80" s="3">
        <f t="shared" si="4"/>
        <v>1.9375</v>
      </c>
      <c r="AI80" s="3">
        <f>IF(Table1[[#This Row],[Attendance Bracket]]="&gt;75%", 1, IF(Table1[[#This Row],[Attendance Bracket]]="50-75%", 0.8, 0.6))</f>
        <v>0.8</v>
      </c>
      <c r="AJ80" s="3">
        <v>2</v>
      </c>
      <c r="AK80" s="3" t="s">
        <v>684</v>
      </c>
      <c r="AL80" s="3">
        <f>VLOOKUP(C80,Table14[[#All],[Department]:[Publication_count]], 2, FALSE)</f>
        <v>12</v>
      </c>
      <c r="AM80" s="3">
        <v>16.25</v>
      </c>
      <c r="AN80" s="3">
        <v>4</v>
      </c>
    </row>
    <row r="81" spans="1:40" x14ac:dyDescent="0.25">
      <c r="A81" t="s">
        <v>106</v>
      </c>
      <c r="B81" t="s">
        <v>406</v>
      </c>
      <c r="C81" t="s">
        <v>627</v>
      </c>
      <c r="D81" s="5" t="s">
        <v>660</v>
      </c>
      <c r="E81" s="3">
        <v>1</v>
      </c>
      <c r="F81" s="3">
        <v>1</v>
      </c>
      <c r="G81" s="3">
        <v>3</v>
      </c>
      <c r="H81" s="3">
        <v>1</v>
      </c>
      <c r="I81" s="3">
        <v>3</v>
      </c>
      <c r="J81" s="3">
        <v>2</v>
      </c>
      <c r="K81" t="s">
        <v>634</v>
      </c>
      <c r="L81" s="3">
        <f t="shared" si="3"/>
        <v>3</v>
      </c>
      <c r="M81" s="3">
        <v>5</v>
      </c>
      <c r="N81" s="3">
        <v>1</v>
      </c>
      <c r="O81" s="3">
        <v>5</v>
      </c>
      <c r="P81" s="3">
        <v>5</v>
      </c>
      <c r="Q81" s="3">
        <v>5</v>
      </c>
      <c r="R81" s="3">
        <v>3</v>
      </c>
      <c r="S81" s="3">
        <v>1</v>
      </c>
      <c r="T81" s="3">
        <v>4</v>
      </c>
      <c r="U81" s="3">
        <v>2</v>
      </c>
      <c r="V81" t="s">
        <v>638</v>
      </c>
      <c r="W81" t="s">
        <v>645</v>
      </c>
      <c r="X81" t="s">
        <v>649</v>
      </c>
      <c r="Y81" t="s">
        <v>652</v>
      </c>
      <c r="Z81" t="s">
        <v>654</v>
      </c>
      <c r="AA81" s="3">
        <v>12</v>
      </c>
      <c r="AB81">
        <v>0</v>
      </c>
      <c r="AC81" s="3">
        <v>4</v>
      </c>
      <c r="AD81" t="s">
        <v>657</v>
      </c>
      <c r="AE81" s="3">
        <f t="shared" si="5"/>
        <v>1.25</v>
      </c>
      <c r="AF81" s="3">
        <f>AVERAGE(E81:U81)</f>
        <v>2.8125</v>
      </c>
      <c r="AG81" s="3">
        <f>AVERAGEIF($C:$C, C81, $AE:$AE)</f>
        <v>1.25</v>
      </c>
      <c r="AH81" s="3">
        <f t="shared" si="4"/>
        <v>1.5625</v>
      </c>
      <c r="AI81" s="3">
        <f>IF(Table1[[#This Row],[Attendance Bracket]]="&gt;75%", 1, IF(Table1[[#This Row],[Attendance Bracket]]="50-75%", 0.8, 0.6))</f>
        <v>0.6</v>
      </c>
      <c r="AJ81" s="3">
        <v>3</v>
      </c>
      <c r="AK81" s="3" t="s">
        <v>634</v>
      </c>
      <c r="AL81" s="3">
        <f>VLOOKUP(C81,Table14[[#All],[Department]:[Publication_count]], 2, FALSE)</f>
        <v>5</v>
      </c>
      <c r="AM81" s="3">
        <v>6.3333333329999997</v>
      </c>
      <c r="AN81" s="3">
        <v>1.474358974</v>
      </c>
    </row>
    <row r="82" spans="1:40" x14ac:dyDescent="0.25">
      <c r="A82" t="s">
        <v>107</v>
      </c>
      <c r="B82" t="s">
        <v>407</v>
      </c>
      <c r="C82" t="s">
        <v>628</v>
      </c>
      <c r="D82" s="5" t="s">
        <v>630</v>
      </c>
      <c r="E82" s="3">
        <v>2</v>
      </c>
      <c r="F82" s="3">
        <v>1</v>
      </c>
      <c r="G82" s="3">
        <v>1</v>
      </c>
      <c r="H82" s="3">
        <v>4</v>
      </c>
      <c r="I82" s="3">
        <v>3</v>
      </c>
      <c r="J82" s="3">
        <v>2</v>
      </c>
      <c r="K82" t="s">
        <v>631</v>
      </c>
      <c r="L82" s="3">
        <f t="shared" si="3"/>
        <v>4</v>
      </c>
      <c r="M82" s="3">
        <v>4</v>
      </c>
      <c r="N82" s="3">
        <v>5</v>
      </c>
      <c r="O82" s="3">
        <v>5</v>
      </c>
      <c r="P82" s="3">
        <v>4</v>
      </c>
      <c r="Q82" s="3">
        <v>1</v>
      </c>
      <c r="R82" s="3">
        <v>3</v>
      </c>
      <c r="S82" s="3">
        <v>5</v>
      </c>
      <c r="T82" s="3">
        <v>1</v>
      </c>
      <c r="U82" s="3">
        <v>5</v>
      </c>
      <c r="V82" t="s">
        <v>636</v>
      </c>
      <c r="W82" t="s">
        <v>644</v>
      </c>
      <c r="X82" t="s">
        <v>646</v>
      </c>
      <c r="Y82" t="s">
        <v>652</v>
      </c>
      <c r="Z82" t="s">
        <v>655</v>
      </c>
      <c r="AA82" s="3">
        <v>12</v>
      </c>
      <c r="AB82">
        <v>0</v>
      </c>
      <c r="AC82" s="3">
        <v>5</v>
      </c>
      <c r="AD82" t="s">
        <v>657</v>
      </c>
      <c r="AE82" s="3">
        <f t="shared" si="5"/>
        <v>1.25</v>
      </c>
      <c r="AF82" s="3">
        <f>AVERAGE(E82:U82)</f>
        <v>3.125</v>
      </c>
      <c r="AG82" s="3">
        <f>AVERAGEIF($C:$C, C82, $AE:$AE)</f>
        <v>1.25</v>
      </c>
      <c r="AH82" s="3">
        <f t="shared" si="4"/>
        <v>1.875</v>
      </c>
      <c r="AI82" s="3">
        <f>IF(Table1[[#This Row],[Attendance Bracket]]="&gt;75%", 1, IF(Table1[[#This Row],[Attendance Bracket]]="50-75%", 0.8, 0.6))</f>
        <v>0.6</v>
      </c>
      <c r="AJ82" s="3">
        <v>2</v>
      </c>
      <c r="AK82" s="3" t="s">
        <v>684</v>
      </c>
      <c r="AL82" s="3">
        <f>VLOOKUP(C82,Table14[[#All],[Department]:[Publication_count]], 2, FALSE)</f>
        <v>12</v>
      </c>
      <c r="AM82" s="3">
        <v>16.25</v>
      </c>
      <c r="AN82" s="3">
        <v>3</v>
      </c>
    </row>
    <row r="83" spans="1:40" x14ac:dyDescent="0.25">
      <c r="A83" t="s">
        <v>108</v>
      </c>
      <c r="B83" t="s">
        <v>408</v>
      </c>
      <c r="C83" t="s">
        <v>627</v>
      </c>
      <c r="D83" s="5" t="s">
        <v>630</v>
      </c>
      <c r="E83" s="3">
        <v>5</v>
      </c>
      <c r="F83" s="3">
        <v>5</v>
      </c>
      <c r="G83" s="3">
        <v>5</v>
      </c>
      <c r="H83" s="3">
        <v>2</v>
      </c>
      <c r="I83" s="3">
        <v>3</v>
      </c>
      <c r="J83" s="3">
        <v>2</v>
      </c>
      <c r="K83" t="s">
        <v>631</v>
      </c>
      <c r="L83" s="3">
        <f t="shared" si="3"/>
        <v>4</v>
      </c>
      <c r="M83" s="3">
        <v>2</v>
      </c>
      <c r="N83" s="3">
        <v>4</v>
      </c>
      <c r="O83" s="3">
        <v>1</v>
      </c>
      <c r="P83" s="3">
        <v>4</v>
      </c>
      <c r="Q83" s="3">
        <v>2</v>
      </c>
      <c r="R83" s="3">
        <v>4</v>
      </c>
      <c r="S83" s="3">
        <v>1</v>
      </c>
      <c r="T83" s="3">
        <v>1</v>
      </c>
      <c r="U83" s="3">
        <v>5</v>
      </c>
      <c r="V83" t="s">
        <v>639</v>
      </c>
      <c r="W83" t="s">
        <v>645</v>
      </c>
      <c r="X83" t="s">
        <v>649</v>
      </c>
      <c r="Y83" t="s">
        <v>652</v>
      </c>
      <c r="Z83" t="s">
        <v>655</v>
      </c>
      <c r="AA83" s="3">
        <v>9</v>
      </c>
      <c r="AB83">
        <v>0</v>
      </c>
      <c r="AC83" s="3">
        <v>5</v>
      </c>
      <c r="AD83" t="s">
        <v>657</v>
      </c>
      <c r="AE83" s="3">
        <f t="shared" si="5"/>
        <v>1.25</v>
      </c>
      <c r="AF83" s="3">
        <f>AVERAGE(E83:U83)</f>
        <v>3.125</v>
      </c>
      <c r="AG83" s="3">
        <f>AVERAGEIF($C:$C, C83, $AE:$AE)</f>
        <v>1.25</v>
      </c>
      <c r="AH83" s="3">
        <f t="shared" si="4"/>
        <v>1.875</v>
      </c>
      <c r="AI83" s="3">
        <f>IF(Table1[[#This Row],[Attendance Bracket]]="&gt;75%", 1, IF(Table1[[#This Row],[Attendance Bracket]]="50-75%", 0.8, 0.6))</f>
        <v>0.6</v>
      </c>
      <c r="AJ83" s="3">
        <v>3</v>
      </c>
      <c r="AK83" s="3" t="s">
        <v>634</v>
      </c>
      <c r="AL83" s="3">
        <f>VLOOKUP(C83,Table14[[#All],[Department]:[Publication_count]], 2, FALSE)</f>
        <v>5</v>
      </c>
      <c r="AM83" s="3">
        <v>6.3333333329999997</v>
      </c>
      <c r="AN83" s="3">
        <v>3.4743589739999998</v>
      </c>
    </row>
    <row r="84" spans="1:40" x14ac:dyDescent="0.25">
      <c r="A84" t="s">
        <v>109</v>
      </c>
      <c r="B84" t="s">
        <v>409</v>
      </c>
      <c r="C84" t="s">
        <v>628</v>
      </c>
      <c r="D84" s="5" t="s">
        <v>659</v>
      </c>
      <c r="E84" s="3">
        <v>5</v>
      </c>
      <c r="F84" s="3">
        <v>3</v>
      </c>
      <c r="G84" s="3">
        <v>3</v>
      </c>
      <c r="H84" s="3">
        <v>2</v>
      </c>
      <c r="I84" s="3">
        <v>3</v>
      </c>
      <c r="J84" s="3">
        <v>5</v>
      </c>
      <c r="K84" t="s">
        <v>632</v>
      </c>
      <c r="L84" s="3">
        <f t="shared" si="3"/>
        <v>1</v>
      </c>
      <c r="M84" s="3">
        <v>3</v>
      </c>
      <c r="N84" s="3">
        <v>5</v>
      </c>
      <c r="O84" s="3">
        <v>3</v>
      </c>
      <c r="P84" s="3">
        <v>3</v>
      </c>
      <c r="Q84" s="3">
        <v>1</v>
      </c>
      <c r="R84" s="3">
        <v>5</v>
      </c>
      <c r="S84" s="3">
        <v>3</v>
      </c>
      <c r="T84" s="3">
        <v>4</v>
      </c>
      <c r="U84" s="3">
        <v>5</v>
      </c>
      <c r="V84" t="s">
        <v>636</v>
      </c>
      <c r="W84" t="s">
        <v>642</v>
      </c>
      <c r="X84" t="s">
        <v>646</v>
      </c>
      <c r="Y84" t="s">
        <v>652</v>
      </c>
      <c r="Z84" t="s">
        <v>654</v>
      </c>
      <c r="AA84" s="3">
        <v>16</v>
      </c>
      <c r="AB84">
        <v>1</v>
      </c>
      <c r="AC84" s="3">
        <v>4</v>
      </c>
      <c r="AD84" t="s">
        <v>657</v>
      </c>
      <c r="AE84" s="3">
        <f t="shared" si="5"/>
        <v>1.25</v>
      </c>
      <c r="AF84" s="3">
        <f>AVERAGE(E84:U84)</f>
        <v>3.375</v>
      </c>
      <c r="AG84" s="3">
        <f>AVERAGEIF($C:$C, C84, $AE:$AE)</f>
        <v>1.25</v>
      </c>
      <c r="AH84" s="3">
        <f t="shared" si="4"/>
        <v>2.125</v>
      </c>
      <c r="AI84" s="3">
        <f>IF(Table1[[#This Row],[Attendance Bracket]]="&gt;75%", 1, IF(Table1[[#This Row],[Attendance Bracket]]="50-75%", 0.8, 0.6))</f>
        <v>0.6</v>
      </c>
      <c r="AJ84" s="3">
        <v>1</v>
      </c>
      <c r="AK84" s="3" t="s">
        <v>684</v>
      </c>
      <c r="AL84" s="3">
        <f>VLOOKUP(C84,Table14[[#All],[Department]:[Publication_count]], 2, FALSE)</f>
        <v>12</v>
      </c>
      <c r="AM84" s="3">
        <v>16.25</v>
      </c>
      <c r="AN84" s="3">
        <v>4</v>
      </c>
    </row>
    <row r="85" spans="1:40" x14ac:dyDescent="0.25">
      <c r="A85" t="s">
        <v>110</v>
      </c>
      <c r="B85" t="s">
        <v>410</v>
      </c>
      <c r="C85" t="s">
        <v>629</v>
      </c>
      <c r="D85" s="5" t="s">
        <v>660</v>
      </c>
      <c r="E85" s="3">
        <v>4</v>
      </c>
      <c r="F85" s="3">
        <v>5</v>
      </c>
      <c r="G85" s="3">
        <v>2</v>
      </c>
      <c r="H85" s="3">
        <v>4</v>
      </c>
      <c r="I85" s="3">
        <v>4</v>
      </c>
      <c r="J85" s="3">
        <v>5</v>
      </c>
      <c r="K85" t="s">
        <v>634</v>
      </c>
      <c r="L85" s="3">
        <f t="shared" si="3"/>
        <v>3</v>
      </c>
      <c r="M85" s="3">
        <v>2</v>
      </c>
      <c r="N85" s="3">
        <v>1</v>
      </c>
      <c r="O85" s="3">
        <v>2</v>
      </c>
      <c r="P85" s="3">
        <v>5</v>
      </c>
      <c r="Q85" s="3">
        <v>5</v>
      </c>
      <c r="R85" s="3">
        <v>2</v>
      </c>
      <c r="S85" s="3">
        <v>5</v>
      </c>
      <c r="T85" s="3">
        <v>3</v>
      </c>
      <c r="U85" s="3">
        <v>2</v>
      </c>
      <c r="V85" t="s">
        <v>638</v>
      </c>
      <c r="W85" t="s">
        <v>643</v>
      </c>
      <c r="X85" t="s">
        <v>647</v>
      </c>
      <c r="Y85" t="s">
        <v>652</v>
      </c>
      <c r="Z85" t="s">
        <v>656</v>
      </c>
      <c r="AA85" s="3">
        <v>14</v>
      </c>
      <c r="AB85">
        <v>0</v>
      </c>
      <c r="AC85" s="3">
        <v>2</v>
      </c>
      <c r="AD85" t="s">
        <v>657</v>
      </c>
      <c r="AE85" s="3">
        <f t="shared" si="5"/>
        <v>1.25</v>
      </c>
      <c r="AF85" s="3">
        <f>AVERAGE(E85:U85)</f>
        <v>3.375</v>
      </c>
      <c r="AG85" s="3">
        <f>AVERAGEIF($C:$C, C85, $AE:$AE)</f>
        <v>1.2450000000000001</v>
      </c>
      <c r="AH85" s="3">
        <f t="shared" si="4"/>
        <v>2.13</v>
      </c>
      <c r="AI85" s="3">
        <f>IF(Table1[[#This Row],[Attendance Bracket]]="&gt;75%", 1, IF(Table1[[#This Row],[Attendance Bracket]]="50-75%", 0.8, 0.6))</f>
        <v>0.6</v>
      </c>
      <c r="AJ85" s="3">
        <v>2</v>
      </c>
      <c r="AK85" s="3" t="s">
        <v>684</v>
      </c>
      <c r="AL85" s="3">
        <f>VLOOKUP(C85,Table14[[#All],[Department]:[Publication_count]], 2, FALSE)</f>
        <v>3</v>
      </c>
      <c r="AM85" s="3">
        <v>4.6666666670000003</v>
      </c>
      <c r="AN85" s="3">
        <v>3.2179487180000002</v>
      </c>
    </row>
    <row r="86" spans="1:40" x14ac:dyDescent="0.25">
      <c r="A86" t="s">
        <v>111</v>
      </c>
      <c r="B86" t="s">
        <v>411</v>
      </c>
      <c r="C86" t="s">
        <v>627</v>
      </c>
      <c r="D86" s="5" t="s">
        <v>659</v>
      </c>
      <c r="E86" s="3">
        <v>3</v>
      </c>
      <c r="F86" s="3">
        <v>2</v>
      </c>
      <c r="G86" s="3">
        <v>3</v>
      </c>
      <c r="H86" s="3">
        <v>3</v>
      </c>
      <c r="I86" s="3">
        <v>5</v>
      </c>
      <c r="J86" s="3">
        <v>2</v>
      </c>
      <c r="K86" t="s">
        <v>631</v>
      </c>
      <c r="L86" s="3">
        <f t="shared" si="3"/>
        <v>4</v>
      </c>
      <c r="M86" s="3">
        <v>5</v>
      </c>
      <c r="N86" s="3">
        <v>3</v>
      </c>
      <c r="O86" s="3">
        <v>3</v>
      </c>
      <c r="P86" s="3">
        <v>3</v>
      </c>
      <c r="Q86" s="3">
        <v>3</v>
      </c>
      <c r="R86" s="3">
        <v>3</v>
      </c>
      <c r="S86" s="3">
        <v>2</v>
      </c>
      <c r="T86" s="3">
        <v>1</v>
      </c>
      <c r="U86" s="3">
        <v>1</v>
      </c>
      <c r="V86" t="s">
        <v>639</v>
      </c>
      <c r="W86" t="s">
        <v>645</v>
      </c>
      <c r="X86" t="s">
        <v>646</v>
      </c>
      <c r="Y86" t="s">
        <v>652</v>
      </c>
      <c r="Z86" t="s">
        <v>655</v>
      </c>
      <c r="AA86" s="3">
        <v>14</v>
      </c>
      <c r="AB86">
        <v>1</v>
      </c>
      <c r="AC86" s="3">
        <v>4</v>
      </c>
      <c r="AD86" t="s">
        <v>657</v>
      </c>
      <c r="AE86" s="3">
        <f t="shared" si="5"/>
        <v>1.25</v>
      </c>
      <c r="AF86" s="3">
        <f>AVERAGE(E86:U86)</f>
        <v>2.875</v>
      </c>
      <c r="AG86" s="3">
        <f>AVERAGEIF($C:$C, C86, $AE:$AE)</f>
        <v>1.25</v>
      </c>
      <c r="AH86" s="3">
        <f t="shared" si="4"/>
        <v>1.625</v>
      </c>
      <c r="AI86" s="3">
        <f>IF(Table1[[#This Row],[Attendance Bracket]]="&gt;75%", 1, IF(Table1[[#This Row],[Attendance Bracket]]="50-75%", 0.8, 0.6))</f>
        <v>0.6</v>
      </c>
      <c r="AJ86" s="3">
        <v>3</v>
      </c>
      <c r="AK86" s="3" t="s">
        <v>634</v>
      </c>
      <c r="AL86" s="3">
        <f>VLOOKUP(C86,Table14[[#All],[Department]:[Publication_count]], 2, FALSE)</f>
        <v>5</v>
      </c>
      <c r="AM86" s="3">
        <v>6.3333333329999997</v>
      </c>
      <c r="AN86" s="3">
        <v>1.974358974</v>
      </c>
    </row>
    <row r="87" spans="1:40" x14ac:dyDescent="0.25">
      <c r="A87" t="s">
        <v>112</v>
      </c>
      <c r="B87" t="s">
        <v>412</v>
      </c>
      <c r="C87" t="s">
        <v>627</v>
      </c>
      <c r="D87" s="5" t="s">
        <v>659</v>
      </c>
      <c r="E87" s="3">
        <v>1</v>
      </c>
      <c r="F87" s="3">
        <v>1</v>
      </c>
      <c r="G87" s="3">
        <v>2</v>
      </c>
      <c r="H87" s="3">
        <v>1</v>
      </c>
      <c r="I87" s="3">
        <v>4</v>
      </c>
      <c r="J87" s="3">
        <v>5</v>
      </c>
      <c r="K87" t="s">
        <v>633</v>
      </c>
      <c r="L87" s="3">
        <f t="shared" si="3"/>
        <v>2</v>
      </c>
      <c r="M87" s="3">
        <v>3</v>
      </c>
      <c r="N87" s="3">
        <v>5</v>
      </c>
      <c r="O87" s="3">
        <v>2</v>
      </c>
      <c r="P87" s="3">
        <v>3</v>
      </c>
      <c r="Q87" s="3">
        <v>4</v>
      </c>
      <c r="R87" s="3">
        <v>3</v>
      </c>
      <c r="S87" s="3">
        <v>2</v>
      </c>
      <c r="T87" s="3">
        <v>5</v>
      </c>
      <c r="U87" s="3">
        <v>5</v>
      </c>
      <c r="V87" t="s">
        <v>639</v>
      </c>
      <c r="W87" t="s">
        <v>642</v>
      </c>
      <c r="X87" t="s">
        <v>649</v>
      </c>
      <c r="Y87" t="s">
        <v>651</v>
      </c>
      <c r="Z87" t="s">
        <v>654</v>
      </c>
      <c r="AA87" s="3">
        <v>12</v>
      </c>
      <c r="AB87">
        <v>1</v>
      </c>
      <c r="AC87" s="3">
        <v>4</v>
      </c>
      <c r="AD87" t="s">
        <v>657</v>
      </c>
      <c r="AE87" s="3">
        <f t="shared" si="5"/>
        <v>1.25</v>
      </c>
      <c r="AF87" s="3">
        <f>AVERAGE(E87:U87)</f>
        <v>3</v>
      </c>
      <c r="AG87" s="3">
        <f>AVERAGEIF($C:$C, C87, $AE:$AE)</f>
        <v>1.25</v>
      </c>
      <c r="AH87" s="3">
        <f t="shared" si="4"/>
        <v>1.75</v>
      </c>
      <c r="AI87" s="3">
        <f>IF(Table1[[#This Row],[Attendance Bracket]]="&gt;75%", 1, IF(Table1[[#This Row],[Attendance Bracket]]="50-75%", 0.8, 0.6))</f>
        <v>0.8</v>
      </c>
      <c r="AJ87" s="3">
        <v>1</v>
      </c>
      <c r="AK87" s="3" t="s">
        <v>684</v>
      </c>
      <c r="AL87" s="3">
        <f>VLOOKUP(C87,Table14[[#All],[Department]:[Publication_count]], 2, FALSE)</f>
        <v>5</v>
      </c>
      <c r="AM87" s="3">
        <v>6.3333333329999997</v>
      </c>
      <c r="AN87" s="3">
        <v>1.474358974</v>
      </c>
    </row>
    <row r="88" spans="1:40" x14ac:dyDescent="0.25">
      <c r="A88" t="s">
        <v>113</v>
      </c>
      <c r="B88" t="s">
        <v>413</v>
      </c>
      <c r="C88" t="s">
        <v>628</v>
      </c>
      <c r="D88" s="5" t="s">
        <v>660</v>
      </c>
      <c r="E88" s="3">
        <v>2</v>
      </c>
      <c r="F88" s="3">
        <v>3</v>
      </c>
      <c r="G88" s="3">
        <v>3</v>
      </c>
      <c r="H88" s="3">
        <v>4</v>
      </c>
      <c r="I88" s="3">
        <v>4</v>
      </c>
      <c r="J88" s="3">
        <v>2</v>
      </c>
      <c r="K88" t="s">
        <v>632</v>
      </c>
      <c r="L88" s="3">
        <f t="shared" si="3"/>
        <v>1</v>
      </c>
      <c r="M88" s="3">
        <v>4</v>
      </c>
      <c r="N88" s="3">
        <v>5</v>
      </c>
      <c r="O88" s="3">
        <v>4</v>
      </c>
      <c r="P88" s="3">
        <v>4</v>
      </c>
      <c r="Q88" s="3">
        <v>2</v>
      </c>
      <c r="R88" s="3">
        <v>2</v>
      </c>
      <c r="S88" s="3">
        <v>4</v>
      </c>
      <c r="T88" s="3">
        <v>1</v>
      </c>
      <c r="U88" s="3">
        <v>4</v>
      </c>
      <c r="V88" t="s">
        <v>639</v>
      </c>
      <c r="W88" t="s">
        <v>645</v>
      </c>
      <c r="X88" t="s">
        <v>648</v>
      </c>
      <c r="Y88" t="s">
        <v>653</v>
      </c>
      <c r="Z88" t="s">
        <v>656</v>
      </c>
      <c r="AA88" s="3">
        <v>10</v>
      </c>
      <c r="AB88">
        <v>0</v>
      </c>
      <c r="AC88" s="3">
        <v>4</v>
      </c>
      <c r="AD88" t="s">
        <v>657</v>
      </c>
      <c r="AE88" s="3">
        <f t="shared" si="5"/>
        <v>1.25</v>
      </c>
      <c r="AF88" s="3">
        <f>AVERAGE(E88:U88)</f>
        <v>3.0625</v>
      </c>
      <c r="AG88" s="3">
        <f>AVERAGEIF($C:$C, C88, $AE:$AE)</f>
        <v>1.25</v>
      </c>
      <c r="AH88" s="3">
        <f t="shared" si="4"/>
        <v>1.8125</v>
      </c>
      <c r="AI88" s="3">
        <f>IF(Table1[[#This Row],[Attendance Bracket]]="&gt;75%", 1, IF(Table1[[#This Row],[Attendance Bracket]]="50-75%", 0.8, 0.6))</f>
        <v>1</v>
      </c>
      <c r="AJ88" s="3">
        <v>3</v>
      </c>
      <c r="AK88" s="3" t="s">
        <v>634</v>
      </c>
      <c r="AL88" s="3">
        <f>VLOOKUP(C88,Table14[[#All],[Department]:[Publication_count]], 2, FALSE)</f>
        <v>12</v>
      </c>
      <c r="AM88" s="3">
        <v>16.25</v>
      </c>
      <c r="AN88" s="3">
        <v>4</v>
      </c>
    </row>
    <row r="89" spans="1:40" x14ac:dyDescent="0.25">
      <c r="A89" t="s">
        <v>114</v>
      </c>
      <c r="B89" t="s">
        <v>414</v>
      </c>
      <c r="C89" t="s">
        <v>629</v>
      </c>
      <c r="D89" s="5" t="s">
        <v>660</v>
      </c>
      <c r="E89" s="3">
        <v>5</v>
      </c>
      <c r="F89" s="3">
        <v>2</v>
      </c>
      <c r="G89" s="3">
        <v>4</v>
      </c>
      <c r="H89" s="3">
        <v>1</v>
      </c>
      <c r="I89" s="3">
        <v>5</v>
      </c>
      <c r="J89" s="3">
        <v>1</v>
      </c>
      <c r="K89" t="s">
        <v>635</v>
      </c>
      <c r="L89" s="3">
        <f t="shared" si="3"/>
        <v>5</v>
      </c>
      <c r="M89" s="3">
        <v>5</v>
      </c>
      <c r="N89" s="3">
        <v>2</v>
      </c>
      <c r="O89" s="3">
        <v>2</v>
      </c>
      <c r="P89" s="3">
        <v>3</v>
      </c>
      <c r="Q89" s="3">
        <v>4</v>
      </c>
      <c r="R89" s="3">
        <v>1</v>
      </c>
      <c r="S89" s="3">
        <v>4</v>
      </c>
      <c r="T89" s="3">
        <v>3</v>
      </c>
      <c r="U89" s="3">
        <v>5</v>
      </c>
      <c r="V89" t="s">
        <v>636</v>
      </c>
      <c r="W89" t="s">
        <v>644</v>
      </c>
      <c r="X89" t="s">
        <v>649</v>
      </c>
      <c r="Y89" t="s">
        <v>652</v>
      </c>
      <c r="Z89" t="s">
        <v>656</v>
      </c>
      <c r="AA89" s="3">
        <v>12</v>
      </c>
      <c r="AB89">
        <v>1</v>
      </c>
      <c r="AC89" s="3">
        <v>1</v>
      </c>
      <c r="AD89" t="s">
        <v>657</v>
      </c>
      <c r="AE89" s="3">
        <f t="shared" si="5"/>
        <v>1.25</v>
      </c>
      <c r="AF89" s="3">
        <f>AVERAGE(E89:U89)</f>
        <v>3.25</v>
      </c>
      <c r="AG89" s="3">
        <f>AVERAGEIF($C:$C, C89, $AE:$AE)</f>
        <v>1.2450000000000001</v>
      </c>
      <c r="AH89" s="3">
        <f t="shared" si="4"/>
        <v>2.0049999999999999</v>
      </c>
      <c r="AI89" s="3">
        <f>IF(Table1[[#This Row],[Attendance Bracket]]="&gt;75%", 1, IF(Table1[[#This Row],[Attendance Bracket]]="50-75%", 0.8, 0.6))</f>
        <v>0.6</v>
      </c>
      <c r="AJ89" s="3">
        <v>2</v>
      </c>
      <c r="AK89" s="3" t="s">
        <v>684</v>
      </c>
      <c r="AL89" s="3">
        <f>VLOOKUP(C89,Table14[[#All],[Department]:[Publication_count]], 2, FALSE)</f>
        <v>3</v>
      </c>
      <c r="AM89" s="3">
        <v>4.6666666670000003</v>
      </c>
      <c r="AN89" s="3">
        <v>1.7179487179999999</v>
      </c>
    </row>
    <row r="90" spans="1:40" x14ac:dyDescent="0.25">
      <c r="A90" t="s">
        <v>115</v>
      </c>
      <c r="B90" t="s">
        <v>415</v>
      </c>
      <c r="C90" t="s">
        <v>627</v>
      </c>
      <c r="D90" s="5" t="s">
        <v>659</v>
      </c>
      <c r="E90" s="3">
        <v>4</v>
      </c>
      <c r="F90" s="3">
        <v>4</v>
      </c>
      <c r="G90" s="3">
        <v>4</v>
      </c>
      <c r="H90" s="3">
        <v>3</v>
      </c>
      <c r="I90" s="3">
        <v>2</v>
      </c>
      <c r="J90" s="3">
        <v>1</v>
      </c>
      <c r="K90" t="s">
        <v>633</v>
      </c>
      <c r="L90" s="3">
        <f t="shared" si="3"/>
        <v>2</v>
      </c>
      <c r="M90" s="3">
        <v>3</v>
      </c>
      <c r="N90" s="3">
        <v>4</v>
      </c>
      <c r="O90" s="3">
        <v>1</v>
      </c>
      <c r="P90" s="3">
        <v>3</v>
      </c>
      <c r="Q90" s="3">
        <v>3</v>
      </c>
      <c r="R90" s="3">
        <v>5</v>
      </c>
      <c r="S90" s="3">
        <v>4</v>
      </c>
      <c r="T90" s="3">
        <v>1</v>
      </c>
      <c r="U90" s="3">
        <v>3</v>
      </c>
      <c r="V90" t="s">
        <v>637</v>
      </c>
      <c r="W90" t="s">
        <v>642</v>
      </c>
      <c r="X90" t="s">
        <v>650</v>
      </c>
      <c r="Y90" t="s">
        <v>651</v>
      </c>
      <c r="Z90" t="s">
        <v>656</v>
      </c>
      <c r="AA90" s="3">
        <v>11</v>
      </c>
      <c r="AB90">
        <v>1</v>
      </c>
      <c r="AC90" s="3">
        <v>3</v>
      </c>
      <c r="AD90" t="s">
        <v>657</v>
      </c>
      <c r="AE90" s="3">
        <f t="shared" si="5"/>
        <v>1.25</v>
      </c>
      <c r="AF90" s="3">
        <f>AVERAGE(E90:U90)</f>
        <v>2.9375</v>
      </c>
      <c r="AG90" s="3">
        <f>AVERAGEIF($C:$C, C90, $AE:$AE)</f>
        <v>1.25</v>
      </c>
      <c r="AH90" s="3">
        <f t="shared" si="4"/>
        <v>1.6875</v>
      </c>
      <c r="AI90" s="3">
        <f>IF(Table1[[#This Row],[Attendance Bracket]]="&gt;75%", 1, IF(Table1[[#This Row],[Attendance Bracket]]="50-75%", 0.8, 0.6))</f>
        <v>0.8</v>
      </c>
      <c r="AJ90" s="3">
        <v>1</v>
      </c>
      <c r="AK90" s="3" t="s">
        <v>684</v>
      </c>
      <c r="AL90" s="3">
        <f>VLOOKUP(C90,Table14[[#All],[Department]:[Publication_count]], 2, FALSE)</f>
        <v>5</v>
      </c>
      <c r="AM90" s="3">
        <v>6.3333333329999997</v>
      </c>
      <c r="AN90" s="3">
        <v>2.9743589739999998</v>
      </c>
    </row>
    <row r="91" spans="1:40" x14ac:dyDescent="0.25">
      <c r="A91" t="s">
        <v>116</v>
      </c>
      <c r="B91" t="s">
        <v>416</v>
      </c>
      <c r="C91" t="s">
        <v>628</v>
      </c>
      <c r="D91" s="5" t="s">
        <v>659</v>
      </c>
      <c r="E91" s="3">
        <v>4</v>
      </c>
      <c r="F91" s="3">
        <v>2</v>
      </c>
      <c r="G91" s="3">
        <v>2</v>
      </c>
      <c r="H91" s="3">
        <v>1</v>
      </c>
      <c r="I91" s="3">
        <v>5</v>
      </c>
      <c r="J91" s="3">
        <v>4</v>
      </c>
      <c r="K91" t="s">
        <v>633</v>
      </c>
      <c r="L91" s="3">
        <f t="shared" si="3"/>
        <v>2</v>
      </c>
      <c r="M91" s="3">
        <v>1</v>
      </c>
      <c r="N91" s="3">
        <v>1</v>
      </c>
      <c r="O91" s="3">
        <v>2</v>
      </c>
      <c r="P91" s="3">
        <v>2</v>
      </c>
      <c r="Q91" s="3">
        <v>2</v>
      </c>
      <c r="R91" s="3">
        <v>1</v>
      </c>
      <c r="S91" s="3">
        <v>1</v>
      </c>
      <c r="T91" s="3">
        <v>1</v>
      </c>
      <c r="U91" s="3">
        <v>3</v>
      </c>
      <c r="V91" t="s">
        <v>638</v>
      </c>
      <c r="W91" t="s">
        <v>644</v>
      </c>
      <c r="X91" t="s">
        <v>650</v>
      </c>
      <c r="Y91" t="s">
        <v>653</v>
      </c>
      <c r="Z91" t="s">
        <v>655</v>
      </c>
      <c r="AA91" s="3">
        <v>18</v>
      </c>
      <c r="AB91">
        <v>1</v>
      </c>
      <c r="AC91" s="3">
        <v>1</v>
      </c>
      <c r="AD91" t="s">
        <v>657</v>
      </c>
      <c r="AE91" s="3">
        <f t="shared" si="5"/>
        <v>1.25</v>
      </c>
      <c r="AF91" s="3">
        <f>AVERAGE(E91:U91)</f>
        <v>2.125</v>
      </c>
      <c r="AG91" s="3">
        <f>AVERAGEIF($C:$C, C91, $AE:$AE)</f>
        <v>1.25</v>
      </c>
      <c r="AH91" s="3">
        <f t="shared" si="4"/>
        <v>0.875</v>
      </c>
      <c r="AI91" s="3">
        <f>IF(Table1[[#This Row],[Attendance Bracket]]="&gt;75%", 1, IF(Table1[[#This Row],[Attendance Bracket]]="50-75%", 0.8, 0.6))</f>
        <v>1</v>
      </c>
      <c r="AJ91" s="3">
        <v>2</v>
      </c>
      <c r="AK91" s="3" t="s">
        <v>684</v>
      </c>
      <c r="AL91" s="3">
        <f>VLOOKUP(C91,Table14[[#All],[Department]:[Publication_count]], 2, FALSE)</f>
        <v>12</v>
      </c>
      <c r="AM91" s="3">
        <v>16.25</v>
      </c>
      <c r="AN91" s="3">
        <v>3.5</v>
      </c>
    </row>
    <row r="92" spans="1:40" x14ac:dyDescent="0.25">
      <c r="A92" t="s">
        <v>117</v>
      </c>
      <c r="B92" t="s">
        <v>417</v>
      </c>
      <c r="C92" t="s">
        <v>629</v>
      </c>
      <c r="D92" s="5" t="s">
        <v>660</v>
      </c>
      <c r="E92" s="3">
        <v>4</v>
      </c>
      <c r="F92" s="3">
        <v>1</v>
      </c>
      <c r="G92" s="3">
        <v>2</v>
      </c>
      <c r="H92" s="3">
        <v>3</v>
      </c>
      <c r="I92" s="3">
        <v>2</v>
      </c>
      <c r="J92" s="3">
        <v>5</v>
      </c>
      <c r="K92" t="s">
        <v>632</v>
      </c>
      <c r="L92" s="3">
        <f t="shared" si="3"/>
        <v>1</v>
      </c>
      <c r="M92" s="3">
        <v>1</v>
      </c>
      <c r="N92" s="3">
        <v>1</v>
      </c>
      <c r="O92" s="3">
        <v>3</v>
      </c>
      <c r="P92" s="3">
        <v>4</v>
      </c>
      <c r="Q92" s="3">
        <v>4</v>
      </c>
      <c r="R92" s="3">
        <v>1</v>
      </c>
      <c r="S92" s="3">
        <v>5</v>
      </c>
      <c r="T92" s="3">
        <v>5</v>
      </c>
      <c r="U92" s="3">
        <v>2</v>
      </c>
      <c r="V92" t="s">
        <v>639</v>
      </c>
      <c r="W92" t="s">
        <v>645</v>
      </c>
      <c r="X92" t="s">
        <v>647</v>
      </c>
      <c r="Y92" t="s">
        <v>651</v>
      </c>
      <c r="Z92" t="s">
        <v>655</v>
      </c>
      <c r="AA92" s="3">
        <v>6</v>
      </c>
      <c r="AB92">
        <v>1</v>
      </c>
      <c r="AC92" s="3">
        <v>4</v>
      </c>
      <c r="AD92" t="s">
        <v>657</v>
      </c>
      <c r="AE92" s="3">
        <f t="shared" si="5"/>
        <v>1.25</v>
      </c>
      <c r="AF92" s="3">
        <f>AVERAGE(E92:U92)</f>
        <v>2.75</v>
      </c>
      <c r="AG92" s="3">
        <f>AVERAGEIF($C:$C, C92, $AE:$AE)</f>
        <v>1.2450000000000001</v>
      </c>
      <c r="AH92" s="3">
        <f t="shared" si="4"/>
        <v>1.5049999999999999</v>
      </c>
      <c r="AI92" s="3">
        <f>IF(Table1[[#This Row],[Attendance Bracket]]="&gt;75%", 1, IF(Table1[[#This Row],[Attendance Bracket]]="50-75%", 0.8, 0.6))</f>
        <v>0.8</v>
      </c>
      <c r="AJ92" s="3">
        <v>3</v>
      </c>
      <c r="AK92" s="3" t="s">
        <v>634</v>
      </c>
      <c r="AL92" s="3">
        <f>VLOOKUP(C92,Table14[[#All],[Department]:[Publication_count]], 2, FALSE)</f>
        <v>3</v>
      </c>
      <c r="AM92" s="3">
        <v>4.6666666670000003</v>
      </c>
      <c r="AN92" s="3">
        <v>1.2179487179999999</v>
      </c>
    </row>
    <row r="93" spans="1:40" x14ac:dyDescent="0.25">
      <c r="A93" t="s">
        <v>118</v>
      </c>
      <c r="B93" t="s">
        <v>418</v>
      </c>
      <c r="C93" t="s">
        <v>629</v>
      </c>
      <c r="D93" s="5" t="s">
        <v>660</v>
      </c>
      <c r="E93" s="3">
        <v>5</v>
      </c>
      <c r="F93" s="3">
        <v>1</v>
      </c>
      <c r="G93" s="3">
        <v>3</v>
      </c>
      <c r="H93" s="3">
        <v>3</v>
      </c>
      <c r="I93" s="3">
        <v>1</v>
      </c>
      <c r="J93" s="3">
        <v>1</v>
      </c>
      <c r="K93" t="s">
        <v>635</v>
      </c>
      <c r="L93" s="3">
        <f t="shared" si="3"/>
        <v>5</v>
      </c>
      <c r="M93" s="3">
        <v>1</v>
      </c>
      <c r="N93" s="3">
        <v>5</v>
      </c>
      <c r="O93" s="3">
        <v>3</v>
      </c>
      <c r="P93" s="3">
        <v>5</v>
      </c>
      <c r="Q93" s="3">
        <v>4</v>
      </c>
      <c r="R93" s="3">
        <v>5</v>
      </c>
      <c r="S93" s="3">
        <v>5</v>
      </c>
      <c r="T93" s="3">
        <v>1</v>
      </c>
      <c r="U93" s="3">
        <v>4</v>
      </c>
      <c r="V93" t="s">
        <v>639</v>
      </c>
      <c r="W93" t="s">
        <v>641</v>
      </c>
      <c r="X93" t="s">
        <v>648</v>
      </c>
      <c r="Y93" t="s">
        <v>653</v>
      </c>
      <c r="Z93" t="s">
        <v>654</v>
      </c>
      <c r="AA93" s="3">
        <v>6</v>
      </c>
      <c r="AB93">
        <v>0</v>
      </c>
      <c r="AC93" s="3">
        <v>2</v>
      </c>
      <c r="AD93" t="s">
        <v>657</v>
      </c>
      <c r="AE93" s="3">
        <f t="shared" si="5"/>
        <v>1.25</v>
      </c>
      <c r="AF93" s="3">
        <f>AVERAGE(E93:U93)</f>
        <v>3.25</v>
      </c>
      <c r="AG93" s="3">
        <f>AVERAGEIF($C:$C, C93, $AE:$AE)</f>
        <v>1.2450000000000001</v>
      </c>
      <c r="AH93" s="3">
        <f t="shared" si="4"/>
        <v>2.0049999999999999</v>
      </c>
      <c r="AI93" s="3">
        <f>IF(Table1[[#This Row],[Attendance Bracket]]="&gt;75%", 1, IF(Table1[[#This Row],[Attendance Bracket]]="50-75%", 0.8, 0.6))</f>
        <v>1</v>
      </c>
      <c r="AJ93" s="3">
        <v>2</v>
      </c>
      <c r="AK93" s="3" t="s">
        <v>684</v>
      </c>
      <c r="AL93" s="3">
        <f>VLOOKUP(C93,Table14[[#All],[Department]:[Publication_count]], 2, FALSE)</f>
        <v>3</v>
      </c>
      <c r="AM93" s="3">
        <v>4.6666666670000003</v>
      </c>
      <c r="AN93" s="3">
        <v>1.2179487179999999</v>
      </c>
    </row>
    <row r="94" spans="1:40" x14ac:dyDescent="0.25">
      <c r="A94" t="s">
        <v>119</v>
      </c>
      <c r="B94" t="s">
        <v>419</v>
      </c>
      <c r="C94" t="s">
        <v>629</v>
      </c>
      <c r="D94" s="5" t="s">
        <v>630</v>
      </c>
      <c r="E94" s="3">
        <v>2</v>
      </c>
      <c r="F94" s="3">
        <v>3</v>
      </c>
      <c r="G94" s="3">
        <v>2</v>
      </c>
      <c r="H94" s="3">
        <v>5</v>
      </c>
      <c r="I94" s="3">
        <v>4</v>
      </c>
      <c r="J94" s="3">
        <v>3</v>
      </c>
      <c r="K94" t="s">
        <v>635</v>
      </c>
      <c r="L94" s="3">
        <f t="shared" si="3"/>
        <v>5</v>
      </c>
      <c r="M94" s="3">
        <v>3</v>
      </c>
      <c r="N94" s="3">
        <v>4</v>
      </c>
      <c r="O94" s="3">
        <v>2</v>
      </c>
      <c r="P94" s="3">
        <v>4</v>
      </c>
      <c r="Q94" s="3">
        <v>5</v>
      </c>
      <c r="R94" s="3">
        <v>2</v>
      </c>
      <c r="S94" s="3">
        <v>2</v>
      </c>
      <c r="T94" s="3">
        <v>3</v>
      </c>
      <c r="U94" s="3">
        <v>1</v>
      </c>
      <c r="V94" t="s">
        <v>637</v>
      </c>
      <c r="W94" t="s">
        <v>642</v>
      </c>
      <c r="X94" t="s">
        <v>647</v>
      </c>
      <c r="Y94" t="s">
        <v>651</v>
      </c>
      <c r="Z94" t="s">
        <v>654</v>
      </c>
      <c r="AA94" s="3">
        <v>15</v>
      </c>
      <c r="AB94">
        <v>1</v>
      </c>
      <c r="AC94" s="3">
        <v>5</v>
      </c>
      <c r="AD94" t="s">
        <v>657</v>
      </c>
      <c r="AE94" s="3">
        <f t="shared" si="5"/>
        <v>1.25</v>
      </c>
      <c r="AF94" s="3">
        <f>AVERAGE(E94:U94)</f>
        <v>3.125</v>
      </c>
      <c r="AG94" s="3">
        <f>AVERAGEIF($C:$C, C94, $AE:$AE)</f>
        <v>1.2450000000000001</v>
      </c>
      <c r="AH94" s="3">
        <f t="shared" si="4"/>
        <v>1.88</v>
      </c>
      <c r="AI94" s="3">
        <f>IF(Table1[[#This Row],[Attendance Bracket]]="&gt;75%", 1, IF(Table1[[#This Row],[Attendance Bracket]]="50-75%", 0.8, 0.6))</f>
        <v>0.8</v>
      </c>
      <c r="AJ94" s="3">
        <v>1</v>
      </c>
      <c r="AK94" s="3" t="s">
        <v>684</v>
      </c>
      <c r="AL94" s="3">
        <f>VLOOKUP(C94,Table14[[#All],[Department]:[Publication_count]], 2, FALSE)</f>
        <v>3</v>
      </c>
      <c r="AM94" s="3">
        <v>4.6666666670000003</v>
      </c>
      <c r="AN94" s="3">
        <v>2.2179487180000002</v>
      </c>
    </row>
    <row r="95" spans="1:40" x14ac:dyDescent="0.25">
      <c r="A95" t="s">
        <v>120</v>
      </c>
      <c r="B95" t="s">
        <v>420</v>
      </c>
      <c r="C95" t="s">
        <v>629</v>
      </c>
      <c r="D95" s="5" t="s">
        <v>660</v>
      </c>
      <c r="E95" s="3">
        <v>2</v>
      </c>
      <c r="F95" s="3">
        <v>3</v>
      </c>
      <c r="G95" s="3">
        <v>1</v>
      </c>
      <c r="H95" s="3">
        <v>5</v>
      </c>
      <c r="I95" s="3">
        <v>4</v>
      </c>
      <c r="J95" s="3">
        <v>3</v>
      </c>
      <c r="K95" t="s">
        <v>631</v>
      </c>
      <c r="L95" s="3">
        <f t="shared" si="3"/>
        <v>4</v>
      </c>
      <c r="M95" s="3">
        <v>5</v>
      </c>
      <c r="N95" s="3">
        <v>4</v>
      </c>
      <c r="O95" s="3">
        <v>1</v>
      </c>
      <c r="P95" s="3">
        <v>5</v>
      </c>
      <c r="Q95" s="3">
        <v>5</v>
      </c>
      <c r="R95" s="3">
        <v>5</v>
      </c>
      <c r="S95" s="3">
        <v>4</v>
      </c>
      <c r="T95" s="3">
        <v>5</v>
      </c>
      <c r="U95" s="3">
        <v>3</v>
      </c>
      <c r="V95" t="s">
        <v>640</v>
      </c>
      <c r="W95" t="s">
        <v>645</v>
      </c>
      <c r="X95" t="s">
        <v>649</v>
      </c>
      <c r="Y95" t="s">
        <v>651</v>
      </c>
      <c r="Z95" t="s">
        <v>656</v>
      </c>
      <c r="AA95" s="3">
        <v>19</v>
      </c>
      <c r="AB95">
        <v>1</v>
      </c>
      <c r="AC95" s="3">
        <v>3</v>
      </c>
      <c r="AD95" t="s">
        <v>657</v>
      </c>
      <c r="AE95" s="3">
        <f t="shared" si="5"/>
        <v>1.25</v>
      </c>
      <c r="AF95" s="3">
        <f>AVERAGE(E95:U95)</f>
        <v>3.6875</v>
      </c>
      <c r="AG95" s="3">
        <f>AVERAGEIF($C:$C, C95, $AE:$AE)</f>
        <v>1.2450000000000001</v>
      </c>
      <c r="AH95" s="3">
        <f t="shared" si="4"/>
        <v>2.4424999999999999</v>
      </c>
      <c r="AI95" s="3">
        <f>IF(Table1[[#This Row],[Attendance Bracket]]="&gt;75%", 1, IF(Table1[[#This Row],[Attendance Bracket]]="50-75%", 0.8, 0.6))</f>
        <v>0.8</v>
      </c>
      <c r="AJ95" s="3">
        <v>3</v>
      </c>
      <c r="AK95" s="3" t="s">
        <v>634</v>
      </c>
      <c r="AL95" s="3">
        <f>VLOOKUP(C95,Table14[[#All],[Department]:[Publication_count]], 2, FALSE)</f>
        <v>3</v>
      </c>
      <c r="AM95" s="3">
        <v>4.6666666670000003</v>
      </c>
      <c r="AN95" s="3">
        <v>2.2179487180000002</v>
      </c>
    </row>
    <row r="96" spans="1:40" x14ac:dyDescent="0.25">
      <c r="A96" t="s">
        <v>121</v>
      </c>
      <c r="B96" t="s">
        <v>421</v>
      </c>
      <c r="C96" t="s">
        <v>628</v>
      </c>
      <c r="D96" s="5" t="s">
        <v>630</v>
      </c>
      <c r="E96" s="3">
        <v>4</v>
      </c>
      <c r="F96" s="3">
        <v>5</v>
      </c>
      <c r="G96" s="3">
        <v>5</v>
      </c>
      <c r="H96" s="3">
        <v>1</v>
      </c>
      <c r="I96" s="3">
        <v>4</v>
      </c>
      <c r="J96" s="3">
        <v>3</v>
      </c>
      <c r="K96" t="s">
        <v>632</v>
      </c>
      <c r="L96" s="3">
        <f t="shared" si="3"/>
        <v>1</v>
      </c>
      <c r="M96" s="3">
        <v>3</v>
      </c>
      <c r="N96" s="3">
        <v>2</v>
      </c>
      <c r="O96" s="3">
        <v>4</v>
      </c>
      <c r="P96" s="3">
        <v>2</v>
      </c>
      <c r="Q96" s="3">
        <v>4</v>
      </c>
      <c r="R96" s="3">
        <v>5</v>
      </c>
      <c r="S96" s="3">
        <v>3</v>
      </c>
      <c r="T96" s="3">
        <v>5</v>
      </c>
      <c r="U96" s="3">
        <v>1</v>
      </c>
      <c r="V96" t="s">
        <v>637</v>
      </c>
      <c r="W96" t="s">
        <v>642</v>
      </c>
      <c r="X96" t="s">
        <v>650</v>
      </c>
      <c r="Y96" t="s">
        <v>651</v>
      </c>
      <c r="Z96" t="s">
        <v>655</v>
      </c>
      <c r="AA96" s="3">
        <v>18</v>
      </c>
      <c r="AB96">
        <v>0</v>
      </c>
      <c r="AC96" s="3">
        <v>4</v>
      </c>
      <c r="AD96" t="s">
        <v>657</v>
      </c>
      <c r="AE96" s="3">
        <f t="shared" si="5"/>
        <v>1.25</v>
      </c>
      <c r="AF96" s="3">
        <f>AVERAGE(E96:U96)</f>
        <v>3.25</v>
      </c>
      <c r="AG96" s="3">
        <f>AVERAGEIF($C:$C, C96, $AE:$AE)</f>
        <v>1.25</v>
      </c>
      <c r="AH96" s="3">
        <f t="shared" si="4"/>
        <v>2</v>
      </c>
      <c r="AI96" s="3">
        <f>IF(Table1[[#This Row],[Attendance Bracket]]="&gt;75%", 1, IF(Table1[[#This Row],[Attendance Bracket]]="50-75%", 0.8, 0.6))</f>
        <v>0.8</v>
      </c>
      <c r="AJ96" s="3">
        <v>1</v>
      </c>
      <c r="AK96" s="3" t="s">
        <v>684</v>
      </c>
      <c r="AL96" s="3">
        <f>VLOOKUP(C96,Table14[[#All],[Department]:[Publication_count]], 2, FALSE)</f>
        <v>12</v>
      </c>
      <c r="AM96" s="3">
        <v>16.25</v>
      </c>
      <c r="AN96" s="3">
        <v>5</v>
      </c>
    </row>
    <row r="97" spans="1:40" x14ac:dyDescent="0.25">
      <c r="A97" t="s">
        <v>122</v>
      </c>
      <c r="B97" t="s">
        <v>422</v>
      </c>
      <c r="C97" t="s">
        <v>627</v>
      </c>
      <c r="D97" s="5" t="s">
        <v>630</v>
      </c>
      <c r="E97" s="3">
        <v>5</v>
      </c>
      <c r="F97" s="3">
        <v>4</v>
      </c>
      <c r="G97" s="3">
        <v>4</v>
      </c>
      <c r="H97" s="3">
        <v>4</v>
      </c>
      <c r="I97" s="3">
        <v>5</v>
      </c>
      <c r="J97" s="3">
        <v>3</v>
      </c>
      <c r="K97" t="s">
        <v>632</v>
      </c>
      <c r="L97" s="3">
        <f t="shared" si="3"/>
        <v>1</v>
      </c>
      <c r="M97" s="3">
        <v>2</v>
      </c>
      <c r="N97" s="3">
        <v>5</v>
      </c>
      <c r="O97" s="3">
        <v>2</v>
      </c>
      <c r="P97" s="3">
        <v>4</v>
      </c>
      <c r="Q97" s="3">
        <v>1</v>
      </c>
      <c r="R97" s="3">
        <v>2</v>
      </c>
      <c r="S97" s="3">
        <v>2</v>
      </c>
      <c r="T97" s="3">
        <v>5</v>
      </c>
      <c r="U97" s="3">
        <v>1</v>
      </c>
      <c r="V97" t="s">
        <v>636</v>
      </c>
      <c r="W97" t="s">
        <v>645</v>
      </c>
      <c r="X97" t="s">
        <v>647</v>
      </c>
      <c r="Y97" t="s">
        <v>652</v>
      </c>
      <c r="Z97" t="s">
        <v>655</v>
      </c>
      <c r="AA97" s="3">
        <v>19</v>
      </c>
      <c r="AB97">
        <v>0</v>
      </c>
      <c r="AC97" s="3">
        <v>5</v>
      </c>
      <c r="AD97" t="s">
        <v>657</v>
      </c>
      <c r="AE97" s="3">
        <f t="shared" si="5"/>
        <v>1.25</v>
      </c>
      <c r="AF97" s="3">
        <f>AVERAGE(E97:U97)</f>
        <v>3.125</v>
      </c>
      <c r="AG97" s="3">
        <f>AVERAGEIF($C:$C, C97, $AE:$AE)</f>
        <v>1.25</v>
      </c>
      <c r="AH97" s="3">
        <f t="shared" si="4"/>
        <v>1.875</v>
      </c>
      <c r="AI97" s="3">
        <f>IF(Table1[[#This Row],[Attendance Bracket]]="&gt;75%", 1, IF(Table1[[#This Row],[Attendance Bracket]]="50-75%", 0.8, 0.6))</f>
        <v>0.6</v>
      </c>
      <c r="AJ97" s="3">
        <v>3</v>
      </c>
      <c r="AK97" s="3" t="s">
        <v>634</v>
      </c>
      <c r="AL97" s="3">
        <f>VLOOKUP(C97,Table14[[#All],[Department]:[Publication_count]], 2, FALSE)</f>
        <v>5</v>
      </c>
      <c r="AM97" s="3">
        <v>6.3333333329999997</v>
      </c>
      <c r="AN97" s="3">
        <v>2.9743589739999998</v>
      </c>
    </row>
    <row r="98" spans="1:40" x14ac:dyDescent="0.25">
      <c r="A98" t="s">
        <v>123</v>
      </c>
      <c r="B98" t="s">
        <v>423</v>
      </c>
      <c r="C98" t="s">
        <v>627</v>
      </c>
      <c r="D98" s="5" t="s">
        <v>659</v>
      </c>
      <c r="E98" s="3">
        <v>1</v>
      </c>
      <c r="F98" s="3">
        <v>2</v>
      </c>
      <c r="G98" s="3">
        <v>4</v>
      </c>
      <c r="H98" s="3">
        <v>2</v>
      </c>
      <c r="I98" s="3">
        <v>1</v>
      </c>
      <c r="J98" s="3">
        <v>3</v>
      </c>
      <c r="K98" t="s">
        <v>631</v>
      </c>
      <c r="L98" s="3">
        <f t="shared" si="3"/>
        <v>4</v>
      </c>
      <c r="M98" s="3">
        <v>4</v>
      </c>
      <c r="N98" s="3">
        <v>1</v>
      </c>
      <c r="O98" s="3">
        <v>4</v>
      </c>
      <c r="P98" s="3">
        <v>3</v>
      </c>
      <c r="Q98" s="3">
        <v>3</v>
      </c>
      <c r="R98" s="3">
        <v>1</v>
      </c>
      <c r="S98" s="3">
        <v>1</v>
      </c>
      <c r="T98" s="3">
        <v>1</v>
      </c>
      <c r="U98" s="3">
        <v>3</v>
      </c>
      <c r="V98" t="s">
        <v>636</v>
      </c>
      <c r="W98" t="s">
        <v>642</v>
      </c>
      <c r="X98" t="s">
        <v>650</v>
      </c>
      <c r="Y98" t="s">
        <v>653</v>
      </c>
      <c r="Z98" t="s">
        <v>654</v>
      </c>
      <c r="AA98" s="3">
        <v>18</v>
      </c>
      <c r="AB98">
        <v>0</v>
      </c>
      <c r="AC98" s="3">
        <v>5</v>
      </c>
      <c r="AD98" t="s">
        <v>657</v>
      </c>
      <c r="AE98" s="3">
        <f t="shared" si="5"/>
        <v>1.25</v>
      </c>
      <c r="AF98" s="3">
        <f>AVERAGE(E98:U98)</f>
        <v>2.375</v>
      </c>
      <c r="AG98" s="3">
        <f>AVERAGEIF($C:$C, C98, $AE:$AE)</f>
        <v>1.25</v>
      </c>
      <c r="AH98" s="3">
        <f t="shared" si="4"/>
        <v>1.125</v>
      </c>
      <c r="AI98" s="3">
        <f>IF(Table1[[#This Row],[Attendance Bracket]]="&gt;75%", 1, IF(Table1[[#This Row],[Attendance Bracket]]="50-75%", 0.8, 0.6))</f>
        <v>1</v>
      </c>
      <c r="AJ98" s="3">
        <v>1</v>
      </c>
      <c r="AK98" s="3" t="s">
        <v>684</v>
      </c>
      <c r="AL98" s="3">
        <f>VLOOKUP(C98,Table14[[#All],[Department]:[Publication_count]], 2, FALSE)</f>
        <v>5</v>
      </c>
      <c r="AM98" s="3">
        <v>6.3333333329999997</v>
      </c>
      <c r="AN98" s="3">
        <v>1.974358974</v>
      </c>
    </row>
    <row r="99" spans="1:40" x14ac:dyDescent="0.25">
      <c r="A99" t="s">
        <v>124</v>
      </c>
      <c r="B99" t="s">
        <v>424</v>
      </c>
      <c r="C99" t="s">
        <v>628</v>
      </c>
      <c r="D99" s="5" t="s">
        <v>660</v>
      </c>
      <c r="E99" s="3">
        <v>4</v>
      </c>
      <c r="F99" s="3">
        <v>1</v>
      </c>
      <c r="G99" s="3">
        <v>5</v>
      </c>
      <c r="H99" s="3">
        <v>1</v>
      </c>
      <c r="I99" s="3">
        <v>5</v>
      </c>
      <c r="J99" s="3">
        <v>4</v>
      </c>
      <c r="K99" t="s">
        <v>633</v>
      </c>
      <c r="L99" s="3">
        <f t="shared" si="3"/>
        <v>2</v>
      </c>
      <c r="M99" s="3">
        <v>2</v>
      </c>
      <c r="N99" s="3">
        <v>4</v>
      </c>
      <c r="O99" s="3">
        <v>5</v>
      </c>
      <c r="P99" s="3">
        <v>4</v>
      </c>
      <c r="Q99" s="3">
        <v>3</v>
      </c>
      <c r="R99" s="3">
        <v>2</v>
      </c>
      <c r="S99" s="3">
        <v>4</v>
      </c>
      <c r="T99" s="3">
        <v>3</v>
      </c>
      <c r="U99" s="3">
        <v>5</v>
      </c>
      <c r="V99" t="s">
        <v>639</v>
      </c>
      <c r="W99" t="s">
        <v>641</v>
      </c>
      <c r="X99" t="s">
        <v>647</v>
      </c>
      <c r="Y99" t="s">
        <v>652</v>
      </c>
      <c r="Z99" t="s">
        <v>656</v>
      </c>
      <c r="AA99" s="3">
        <v>18</v>
      </c>
      <c r="AB99">
        <v>1</v>
      </c>
      <c r="AC99" s="3">
        <v>3</v>
      </c>
      <c r="AD99" t="s">
        <v>657</v>
      </c>
      <c r="AE99" s="3">
        <f t="shared" si="5"/>
        <v>1.25</v>
      </c>
      <c r="AF99" s="3">
        <f>AVERAGE(E99:U99)</f>
        <v>3.375</v>
      </c>
      <c r="AG99" s="3">
        <f>AVERAGEIF($C:$C, C99, $AE:$AE)</f>
        <v>1.25</v>
      </c>
      <c r="AH99" s="3">
        <f t="shared" si="4"/>
        <v>2.125</v>
      </c>
      <c r="AI99" s="3">
        <f>IF(Table1[[#This Row],[Attendance Bracket]]="&gt;75%", 1, IF(Table1[[#This Row],[Attendance Bracket]]="50-75%", 0.8, 0.6))</f>
        <v>0.6</v>
      </c>
      <c r="AJ99" s="3">
        <v>2</v>
      </c>
      <c r="AK99" s="3" t="s">
        <v>684</v>
      </c>
      <c r="AL99" s="3">
        <f>VLOOKUP(C99,Table14[[#All],[Department]:[Publication_count]], 2, FALSE)</f>
        <v>12</v>
      </c>
      <c r="AM99" s="3">
        <v>16.25</v>
      </c>
      <c r="AN99" s="3">
        <v>3</v>
      </c>
    </row>
    <row r="100" spans="1:40" x14ac:dyDescent="0.25">
      <c r="A100" t="s">
        <v>125</v>
      </c>
      <c r="B100" t="s">
        <v>425</v>
      </c>
      <c r="C100" t="s">
        <v>629</v>
      </c>
      <c r="D100" s="5" t="s">
        <v>660</v>
      </c>
      <c r="E100" s="3">
        <v>4</v>
      </c>
      <c r="F100" s="3">
        <v>5</v>
      </c>
      <c r="G100" s="3">
        <v>2</v>
      </c>
      <c r="H100" s="3">
        <v>2</v>
      </c>
      <c r="I100" s="3">
        <v>1</v>
      </c>
      <c r="J100" s="3">
        <v>5</v>
      </c>
      <c r="K100" t="s">
        <v>635</v>
      </c>
      <c r="L100" s="3">
        <f t="shared" si="3"/>
        <v>5</v>
      </c>
      <c r="M100" s="3">
        <v>4</v>
      </c>
      <c r="N100" s="3">
        <v>3</v>
      </c>
      <c r="O100" s="3">
        <v>2</v>
      </c>
      <c r="P100" s="3">
        <v>5</v>
      </c>
      <c r="Q100" s="3">
        <v>3</v>
      </c>
      <c r="R100" s="3">
        <v>4</v>
      </c>
      <c r="S100" s="3">
        <v>3</v>
      </c>
      <c r="T100" s="3">
        <v>4</v>
      </c>
      <c r="U100" s="3">
        <v>3</v>
      </c>
      <c r="V100" t="s">
        <v>639</v>
      </c>
      <c r="W100" t="s">
        <v>643</v>
      </c>
      <c r="X100" t="s">
        <v>647</v>
      </c>
      <c r="Y100" t="s">
        <v>653</v>
      </c>
      <c r="Z100" t="s">
        <v>656</v>
      </c>
      <c r="AA100" s="3">
        <v>14</v>
      </c>
      <c r="AB100">
        <v>1</v>
      </c>
      <c r="AC100" s="3">
        <v>3</v>
      </c>
      <c r="AD100" t="s">
        <v>657</v>
      </c>
      <c r="AE100" s="3">
        <f>IF(AE102, 1.25, 1)</f>
        <v>1.25</v>
      </c>
      <c r="AF100" s="3">
        <f>AVERAGE(E100:U100)</f>
        <v>3.4375</v>
      </c>
      <c r="AG100" s="3">
        <f>AVERAGEIF($C:$C, C100, $AE:$AE)</f>
        <v>1.2450000000000001</v>
      </c>
      <c r="AH100" s="3">
        <f t="shared" si="4"/>
        <v>2.1924999999999999</v>
      </c>
      <c r="AI100" s="3">
        <f>IF(Table1[[#This Row],[Attendance Bracket]]="&gt;75%", 1, IF(Table1[[#This Row],[Attendance Bracket]]="50-75%", 0.8, 0.6))</f>
        <v>1</v>
      </c>
      <c r="AJ100" s="3">
        <v>2</v>
      </c>
      <c r="AK100" s="3" t="s">
        <v>684</v>
      </c>
      <c r="AL100" s="3">
        <f>VLOOKUP(C100,Table14[[#All],[Department]:[Publication_count]], 2, FALSE)</f>
        <v>3</v>
      </c>
      <c r="AM100" s="3">
        <v>4.6666666670000003</v>
      </c>
      <c r="AN100" s="3">
        <v>3.2179487180000002</v>
      </c>
    </row>
    <row r="101" spans="1:40" x14ac:dyDescent="0.25">
      <c r="A101" t="s">
        <v>126</v>
      </c>
      <c r="B101" t="s">
        <v>426</v>
      </c>
      <c r="C101" t="s">
        <v>628</v>
      </c>
      <c r="D101" s="5" t="s">
        <v>659</v>
      </c>
      <c r="E101" s="3">
        <v>1</v>
      </c>
      <c r="F101" s="3">
        <v>4</v>
      </c>
      <c r="G101" s="3">
        <v>3</v>
      </c>
      <c r="H101" s="3">
        <v>2</v>
      </c>
      <c r="I101" s="3">
        <v>4</v>
      </c>
      <c r="J101" s="3">
        <v>1</v>
      </c>
      <c r="K101" t="s">
        <v>631</v>
      </c>
      <c r="L101" s="3">
        <f t="shared" si="3"/>
        <v>4</v>
      </c>
      <c r="M101" s="3">
        <v>4</v>
      </c>
      <c r="N101" s="3">
        <v>2</v>
      </c>
      <c r="O101" s="3">
        <v>2</v>
      </c>
      <c r="P101" s="3">
        <v>5</v>
      </c>
      <c r="Q101" s="3">
        <v>5</v>
      </c>
      <c r="R101" s="3">
        <v>2</v>
      </c>
      <c r="S101" s="3">
        <v>5</v>
      </c>
      <c r="T101" s="3">
        <v>1</v>
      </c>
      <c r="U101" s="3">
        <v>5</v>
      </c>
      <c r="V101" t="s">
        <v>638</v>
      </c>
      <c r="W101" t="s">
        <v>643</v>
      </c>
      <c r="X101" t="s">
        <v>650</v>
      </c>
      <c r="Y101" t="s">
        <v>652</v>
      </c>
      <c r="Z101" t="s">
        <v>656</v>
      </c>
      <c r="AA101" s="3">
        <v>13</v>
      </c>
      <c r="AB101">
        <v>1</v>
      </c>
      <c r="AC101" s="3">
        <v>4</v>
      </c>
      <c r="AD101" t="s">
        <v>657</v>
      </c>
      <c r="AE101" s="3">
        <f>IF(AE103, 1.25, 1)</f>
        <v>1.25</v>
      </c>
      <c r="AF101" s="3">
        <f>AVERAGE(E101:U101)</f>
        <v>3.125</v>
      </c>
      <c r="AG101" s="3">
        <f>AVERAGEIF($C:$C, C101, $AE:$AE)</f>
        <v>1.25</v>
      </c>
      <c r="AH101" s="3">
        <f t="shared" si="4"/>
        <v>1.875</v>
      </c>
      <c r="AI101" s="3">
        <f>IF(Table1[[#This Row],[Attendance Bracket]]="&gt;75%", 1, IF(Table1[[#This Row],[Attendance Bracket]]="50-75%", 0.8, 0.6))</f>
        <v>0.6</v>
      </c>
      <c r="AJ101" s="3">
        <v>2</v>
      </c>
      <c r="AK101" s="3" t="s">
        <v>684</v>
      </c>
      <c r="AL101" s="3">
        <f>VLOOKUP(C101,Table14[[#All],[Department]:[Publication_count]], 2, FALSE)</f>
        <v>12</v>
      </c>
      <c r="AM101" s="3">
        <v>16.25</v>
      </c>
      <c r="AN101" s="3">
        <v>4.5</v>
      </c>
    </row>
    <row r="102" spans="1:40" x14ac:dyDescent="0.25">
      <c r="A102" t="s">
        <v>127</v>
      </c>
      <c r="B102" t="s">
        <v>427</v>
      </c>
      <c r="C102" t="s">
        <v>628</v>
      </c>
      <c r="D102" s="5" t="s">
        <v>659</v>
      </c>
      <c r="E102" s="3">
        <v>3</v>
      </c>
      <c r="F102" s="3">
        <v>1</v>
      </c>
      <c r="G102" s="3">
        <v>2</v>
      </c>
      <c r="H102" s="3">
        <v>4</v>
      </c>
      <c r="I102" s="3">
        <v>1</v>
      </c>
      <c r="J102" s="3">
        <v>1</v>
      </c>
      <c r="K102" t="s">
        <v>635</v>
      </c>
      <c r="L102" s="3">
        <f t="shared" si="3"/>
        <v>5</v>
      </c>
      <c r="M102" s="3">
        <v>1</v>
      </c>
      <c r="N102" s="3">
        <v>2</v>
      </c>
      <c r="O102" s="3">
        <v>1</v>
      </c>
      <c r="P102" s="3">
        <v>4</v>
      </c>
      <c r="Q102" s="3">
        <v>5</v>
      </c>
      <c r="R102" s="3">
        <v>3</v>
      </c>
      <c r="S102" s="3">
        <v>5</v>
      </c>
      <c r="T102" s="3">
        <v>5</v>
      </c>
      <c r="U102" s="3">
        <v>1</v>
      </c>
      <c r="V102" t="s">
        <v>638</v>
      </c>
      <c r="W102" t="s">
        <v>643</v>
      </c>
      <c r="X102" t="s">
        <v>650</v>
      </c>
      <c r="Y102" t="s">
        <v>653</v>
      </c>
      <c r="Z102" t="s">
        <v>656</v>
      </c>
      <c r="AA102" s="4">
        <v>5</v>
      </c>
      <c r="AB102">
        <v>0</v>
      </c>
      <c r="AC102" s="3">
        <v>4</v>
      </c>
      <c r="AD102" t="s">
        <v>657</v>
      </c>
      <c r="AE102" s="3">
        <f t="shared" si="5"/>
        <v>1.25</v>
      </c>
      <c r="AF102" s="3">
        <f>AVERAGE(E102:U102)</f>
        <v>2.75</v>
      </c>
      <c r="AG102" s="3">
        <f>AVERAGEIF($C:$C, C102, $AE:$AE)</f>
        <v>1.25</v>
      </c>
      <c r="AH102" s="3">
        <f t="shared" si="4"/>
        <v>1.5</v>
      </c>
      <c r="AI102" s="3">
        <f>IF(Table1[[#This Row],[Attendance Bracket]]="&gt;75%", 1, IF(Table1[[#This Row],[Attendance Bracket]]="50-75%", 0.8, 0.6))</f>
        <v>1</v>
      </c>
      <c r="AJ102" s="3">
        <v>2</v>
      </c>
      <c r="AK102" s="3" t="s">
        <v>684</v>
      </c>
      <c r="AL102" s="3">
        <f>VLOOKUP(C102,Table14[[#All],[Department]:[Publication_count]], 2, FALSE)</f>
        <v>12</v>
      </c>
      <c r="AM102" s="3">
        <v>16.25</v>
      </c>
      <c r="AN102" s="3">
        <v>3</v>
      </c>
    </row>
    <row r="103" spans="1:40" x14ac:dyDescent="0.25">
      <c r="A103" t="s">
        <v>128</v>
      </c>
      <c r="B103" t="s">
        <v>428</v>
      </c>
      <c r="C103" t="s">
        <v>627</v>
      </c>
      <c r="D103" s="5" t="s">
        <v>660</v>
      </c>
      <c r="E103" s="3">
        <v>5</v>
      </c>
      <c r="F103" s="3">
        <v>4</v>
      </c>
      <c r="G103" s="3">
        <v>2</v>
      </c>
      <c r="H103" s="3">
        <v>4</v>
      </c>
      <c r="I103" s="3">
        <v>4</v>
      </c>
      <c r="J103" s="3">
        <v>3</v>
      </c>
      <c r="K103" t="s">
        <v>634</v>
      </c>
      <c r="L103" s="3">
        <f t="shared" si="3"/>
        <v>3</v>
      </c>
      <c r="M103" s="3">
        <v>3</v>
      </c>
      <c r="N103" s="3">
        <v>4</v>
      </c>
      <c r="O103" s="3">
        <v>2</v>
      </c>
      <c r="P103" s="3">
        <v>1</v>
      </c>
      <c r="Q103" s="3">
        <v>5</v>
      </c>
      <c r="R103" s="3">
        <v>2</v>
      </c>
      <c r="S103" s="3">
        <v>2</v>
      </c>
      <c r="T103" s="3">
        <v>1</v>
      </c>
      <c r="U103" s="3">
        <v>2</v>
      </c>
      <c r="V103" t="s">
        <v>638</v>
      </c>
      <c r="W103" t="s">
        <v>645</v>
      </c>
      <c r="X103" t="s">
        <v>648</v>
      </c>
      <c r="Y103" t="s">
        <v>653</v>
      </c>
      <c r="Z103" t="s">
        <v>654</v>
      </c>
      <c r="AA103" s="3">
        <v>10</v>
      </c>
      <c r="AB103">
        <v>1</v>
      </c>
      <c r="AC103" s="3">
        <v>4</v>
      </c>
      <c r="AD103" t="s">
        <v>657</v>
      </c>
      <c r="AE103" s="3">
        <f t="shared" si="5"/>
        <v>1.25</v>
      </c>
      <c r="AF103" s="3">
        <f>AVERAGE(E103:U103)</f>
        <v>2.9375</v>
      </c>
      <c r="AG103" s="3">
        <f>AVERAGEIF($C:$C, C103, $AE:$AE)</f>
        <v>1.25</v>
      </c>
      <c r="AH103" s="3">
        <f t="shared" si="4"/>
        <v>1.6875</v>
      </c>
      <c r="AI103" s="3">
        <f>IF(Table1[[#This Row],[Attendance Bracket]]="&gt;75%", 1, IF(Table1[[#This Row],[Attendance Bracket]]="50-75%", 0.8, 0.6))</f>
        <v>1</v>
      </c>
      <c r="AJ103" s="3">
        <v>3</v>
      </c>
      <c r="AK103" s="3" t="s">
        <v>634</v>
      </c>
      <c r="AL103" s="3">
        <f>VLOOKUP(C103,Table14[[#All],[Department]:[Publication_count]], 2, FALSE)</f>
        <v>5</v>
      </c>
      <c r="AM103" s="3">
        <v>6.3333333329999997</v>
      </c>
      <c r="AN103" s="3">
        <v>2.9743589739999998</v>
      </c>
    </row>
    <row r="104" spans="1:40" x14ac:dyDescent="0.25">
      <c r="A104" t="s">
        <v>129</v>
      </c>
      <c r="B104" t="s">
        <v>429</v>
      </c>
      <c r="C104" t="s">
        <v>629</v>
      </c>
      <c r="D104" s="5" t="s">
        <v>659</v>
      </c>
      <c r="E104" s="3">
        <v>3</v>
      </c>
      <c r="F104" s="3">
        <v>3</v>
      </c>
      <c r="G104" s="3">
        <v>4</v>
      </c>
      <c r="H104" s="3">
        <v>5</v>
      </c>
      <c r="I104" s="3">
        <v>5</v>
      </c>
      <c r="J104" s="3">
        <v>1</v>
      </c>
      <c r="K104" t="s">
        <v>633</v>
      </c>
      <c r="L104" s="3">
        <f t="shared" si="3"/>
        <v>2</v>
      </c>
      <c r="M104" s="3">
        <v>3</v>
      </c>
      <c r="N104" s="3">
        <v>2</v>
      </c>
      <c r="O104" s="3">
        <v>2</v>
      </c>
      <c r="P104" s="3">
        <v>4</v>
      </c>
      <c r="Q104" s="3">
        <v>4</v>
      </c>
      <c r="R104" s="3">
        <v>5</v>
      </c>
      <c r="S104" s="3">
        <v>4</v>
      </c>
      <c r="T104" s="3">
        <v>5</v>
      </c>
      <c r="U104" s="3">
        <v>2</v>
      </c>
      <c r="V104" t="s">
        <v>640</v>
      </c>
      <c r="W104" t="s">
        <v>641</v>
      </c>
      <c r="X104" t="s">
        <v>650</v>
      </c>
      <c r="Y104" t="s">
        <v>653</v>
      </c>
      <c r="Z104" t="s">
        <v>655</v>
      </c>
      <c r="AA104" s="3">
        <v>11</v>
      </c>
      <c r="AB104">
        <v>0</v>
      </c>
      <c r="AC104" s="3">
        <v>5</v>
      </c>
      <c r="AD104" t="s">
        <v>657</v>
      </c>
      <c r="AE104" s="3">
        <f t="shared" si="5"/>
        <v>1.25</v>
      </c>
      <c r="AF104" s="3">
        <f>AVERAGE(E104:U104)</f>
        <v>3.375</v>
      </c>
      <c r="AG104" s="3">
        <f>AVERAGEIF($C:$C, C104, $AE:$AE)</f>
        <v>1.2450000000000001</v>
      </c>
      <c r="AH104" s="3">
        <f t="shared" si="4"/>
        <v>2.13</v>
      </c>
      <c r="AI104" s="3">
        <f>IF(Table1[[#This Row],[Attendance Bracket]]="&gt;75%", 1, IF(Table1[[#This Row],[Attendance Bracket]]="50-75%", 0.8, 0.6))</f>
        <v>1</v>
      </c>
      <c r="AJ104" s="3">
        <v>2</v>
      </c>
      <c r="AK104" s="3" t="s">
        <v>684</v>
      </c>
      <c r="AL104" s="3">
        <f>VLOOKUP(C104,Table14[[#All],[Department]:[Publication_count]], 2, FALSE)</f>
        <v>3</v>
      </c>
      <c r="AM104" s="3">
        <v>4.6666666670000003</v>
      </c>
      <c r="AN104" s="3">
        <v>2.2179487180000002</v>
      </c>
    </row>
    <row r="105" spans="1:40" x14ac:dyDescent="0.25">
      <c r="A105" t="s">
        <v>130</v>
      </c>
      <c r="B105" t="s">
        <v>430</v>
      </c>
      <c r="C105" t="s">
        <v>629</v>
      </c>
      <c r="D105" s="5" t="s">
        <v>660</v>
      </c>
      <c r="E105" s="3">
        <v>3</v>
      </c>
      <c r="F105" s="3">
        <v>4</v>
      </c>
      <c r="G105" s="3">
        <v>5</v>
      </c>
      <c r="H105" s="3">
        <v>3</v>
      </c>
      <c r="I105" s="3">
        <v>4</v>
      </c>
      <c r="J105" s="3">
        <v>3</v>
      </c>
      <c r="K105" t="s">
        <v>634</v>
      </c>
      <c r="L105" s="3">
        <f t="shared" si="3"/>
        <v>3</v>
      </c>
      <c r="M105" s="3">
        <v>2</v>
      </c>
      <c r="N105" s="3">
        <v>2</v>
      </c>
      <c r="O105" s="3">
        <v>2</v>
      </c>
      <c r="P105" s="3">
        <v>1</v>
      </c>
      <c r="Q105" s="3">
        <v>4</v>
      </c>
      <c r="R105" s="3">
        <v>5</v>
      </c>
      <c r="S105" s="3">
        <v>3</v>
      </c>
      <c r="T105" s="3">
        <v>3</v>
      </c>
      <c r="U105" s="3">
        <v>1</v>
      </c>
      <c r="V105" t="s">
        <v>640</v>
      </c>
      <c r="W105" t="s">
        <v>645</v>
      </c>
      <c r="X105" t="s">
        <v>648</v>
      </c>
      <c r="Y105" t="s">
        <v>651</v>
      </c>
      <c r="Z105" t="s">
        <v>655</v>
      </c>
      <c r="AA105" s="3">
        <v>16</v>
      </c>
      <c r="AB105">
        <v>1</v>
      </c>
      <c r="AC105" s="3">
        <v>3</v>
      </c>
      <c r="AD105" t="s">
        <v>657</v>
      </c>
      <c r="AE105" s="3">
        <f t="shared" si="5"/>
        <v>1.25</v>
      </c>
      <c r="AF105" s="3">
        <f>AVERAGE(E105:U105)</f>
        <v>3</v>
      </c>
      <c r="AG105" s="3">
        <f>AVERAGEIF($C:$C, C105, $AE:$AE)</f>
        <v>1.2450000000000001</v>
      </c>
      <c r="AH105" s="3">
        <f t="shared" si="4"/>
        <v>1.7549999999999999</v>
      </c>
      <c r="AI105" s="3">
        <f>IF(Table1[[#This Row],[Attendance Bracket]]="&gt;75%", 1, IF(Table1[[#This Row],[Attendance Bracket]]="50-75%", 0.8, 0.6))</f>
        <v>0.8</v>
      </c>
      <c r="AJ105" s="3">
        <v>3</v>
      </c>
      <c r="AK105" s="3" t="s">
        <v>634</v>
      </c>
      <c r="AL105" s="3">
        <f>VLOOKUP(C105,Table14[[#All],[Department]:[Publication_count]], 2, FALSE)</f>
        <v>3</v>
      </c>
      <c r="AM105" s="3">
        <v>4.6666666670000003</v>
      </c>
      <c r="AN105" s="3">
        <v>2.7179487180000002</v>
      </c>
    </row>
    <row r="106" spans="1:40" x14ac:dyDescent="0.25">
      <c r="A106" t="s">
        <v>131</v>
      </c>
      <c r="B106" t="s">
        <v>431</v>
      </c>
      <c r="C106" t="s">
        <v>628</v>
      </c>
      <c r="D106" s="5" t="s">
        <v>660</v>
      </c>
      <c r="E106" s="3">
        <v>4</v>
      </c>
      <c r="F106" s="3">
        <v>2</v>
      </c>
      <c r="G106" s="3">
        <v>3</v>
      </c>
      <c r="H106" s="3">
        <v>4</v>
      </c>
      <c r="I106" s="3">
        <v>5</v>
      </c>
      <c r="J106" s="3">
        <v>4</v>
      </c>
      <c r="K106" t="s">
        <v>634</v>
      </c>
      <c r="L106" s="3">
        <f t="shared" si="3"/>
        <v>3</v>
      </c>
      <c r="M106" s="3">
        <v>3</v>
      </c>
      <c r="N106" s="3">
        <v>5</v>
      </c>
      <c r="O106" s="3">
        <v>1</v>
      </c>
      <c r="P106" s="3">
        <v>5</v>
      </c>
      <c r="Q106" s="3">
        <v>5</v>
      </c>
      <c r="R106" s="3">
        <v>5</v>
      </c>
      <c r="S106" s="3">
        <v>1</v>
      </c>
      <c r="T106" s="3">
        <v>1</v>
      </c>
      <c r="U106" s="3">
        <v>5</v>
      </c>
      <c r="V106" t="s">
        <v>638</v>
      </c>
      <c r="W106" t="s">
        <v>643</v>
      </c>
      <c r="X106" t="s">
        <v>649</v>
      </c>
      <c r="Y106" t="s">
        <v>652</v>
      </c>
      <c r="Z106" t="s">
        <v>655</v>
      </c>
      <c r="AA106" s="3">
        <v>9</v>
      </c>
      <c r="AB106">
        <v>0</v>
      </c>
      <c r="AC106" s="3">
        <v>5</v>
      </c>
      <c r="AD106" t="s">
        <v>657</v>
      </c>
      <c r="AE106" s="3">
        <f>IF(AE108, 1.25, 1)</f>
        <v>1.25</v>
      </c>
      <c r="AF106" s="3">
        <f>AVERAGE(E106:U106)</f>
        <v>3.5</v>
      </c>
      <c r="AG106" s="3">
        <f>AVERAGEIF($C:$C, C106, $AE:$AE)</f>
        <v>1.25</v>
      </c>
      <c r="AH106" s="3">
        <f t="shared" si="4"/>
        <v>2.25</v>
      </c>
      <c r="AI106" s="3">
        <f>IF(Table1[[#This Row],[Attendance Bracket]]="&gt;75%", 1, IF(Table1[[#This Row],[Attendance Bracket]]="50-75%", 0.8, 0.6))</f>
        <v>0.6</v>
      </c>
      <c r="AJ106" s="3">
        <v>2</v>
      </c>
      <c r="AK106" s="3" t="s">
        <v>684</v>
      </c>
      <c r="AL106" s="3">
        <f>VLOOKUP(C106,Table14[[#All],[Department]:[Publication_count]], 2, FALSE)</f>
        <v>12</v>
      </c>
      <c r="AM106" s="3">
        <v>16.25</v>
      </c>
      <c r="AN106" s="3">
        <v>3.5</v>
      </c>
    </row>
    <row r="107" spans="1:40" x14ac:dyDescent="0.25">
      <c r="A107" t="s">
        <v>132</v>
      </c>
      <c r="B107" t="s">
        <v>432</v>
      </c>
      <c r="C107" t="s">
        <v>627</v>
      </c>
      <c r="D107" s="5" t="s">
        <v>660</v>
      </c>
      <c r="E107" s="3">
        <v>2</v>
      </c>
      <c r="F107" s="3">
        <v>4</v>
      </c>
      <c r="G107" s="3">
        <v>2</v>
      </c>
      <c r="H107" s="3">
        <v>2</v>
      </c>
      <c r="I107" s="3">
        <v>1</v>
      </c>
      <c r="J107" s="3">
        <v>5</v>
      </c>
      <c r="K107" t="s">
        <v>633</v>
      </c>
      <c r="L107" s="3">
        <f t="shared" si="3"/>
        <v>2</v>
      </c>
      <c r="M107" s="3">
        <v>4</v>
      </c>
      <c r="N107" s="3">
        <v>2</v>
      </c>
      <c r="O107" s="3">
        <v>3</v>
      </c>
      <c r="P107" s="3">
        <v>5</v>
      </c>
      <c r="Q107" s="3">
        <v>1</v>
      </c>
      <c r="R107" s="3">
        <v>1</v>
      </c>
      <c r="S107" s="3">
        <v>1</v>
      </c>
      <c r="T107" s="3">
        <v>2</v>
      </c>
      <c r="U107" s="3">
        <v>5</v>
      </c>
      <c r="V107" t="s">
        <v>637</v>
      </c>
      <c r="W107" t="s">
        <v>642</v>
      </c>
      <c r="X107" t="s">
        <v>648</v>
      </c>
      <c r="Y107" t="s">
        <v>653</v>
      </c>
      <c r="Z107" t="s">
        <v>654</v>
      </c>
      <c r="AA107" s="3">
        <v>17</v>
      </c>
      <c r="AB107">
        <v>1</v>
      </c>
      <c r="AC107" s="3">
        <v>5</v>
      </c>
      <c r="AD107" t="s">
        <v>657</v>
      </c>
      <c r="AE107" s="3">
        <f>IF(AE109, 1.25, 1)</f>
        <v>1.25</v>
      </c>
      <c r="AF107" s="3">
        <f>AVERAGE(E107:U107)</f>
        <v>2.625</v>
      </c>
      <c r="AG107" s="3">
        <f>AVERAGEIF($C:$C, C107, $AE:$AE)</f>
        <v>1.25</v>
      </c>
      <c r="AH107" s="3">
        <f t="shared" si="4"/>
        <v>1.375</v>
      </c>
      <c r="AI107" s="3">
        <f>IF(Table1[[#This Row],[Attendance Bracket]]="&gt;75%", 1, IF(Table1[[#This Row],[Attendance Bracket]]="50-75%", 0.8, 0.6))</f>
        <v>1</v>
      </c>
      <c r="AJ107" s="3">
        <v>1</v>
      </c>
      <c r="AK107" s="3" t="s">
        <v>684</v>
      </c>
      <c r="AL107" s="3">
        <f>VLOOKUP(C107,Table14[[#All],[Department]:[Publication_count]], 2, FALSE)</f>
        <v>5</v>
      </c>
      <c r="AM107" s="3">
        <v>6.3333333329999997</v>
      </c>
      <c r="AN107" s="3">
        <v>2.9743589739999998</v>
      </c>
    </row>
    <row r="108" spans="1:40" x14ac:dyDescent="0.25">
      <c r="A108" t="s">
        <v>133</v>
      </c>
      <c r="B108" t="s">
        <v>433</v>
      </c>
      <c r="C108" t="s">
        <v>627</v>
      </c>
      <c r="D108" s="5" t="s">
        <v>630</v>
      </c>
      <c r="E108" s="3">
        <v>5</v>
      </c>
      <c r="F108" s="3">
        <v>1</v>
      </c>
      <c r="G108" s="3">
        <v>2</v>
      </c>
      <c r="H108" s="3">
        <v>1</v>
      </c>
      <c r="I108" s="3">
        <v>1</v>
      </c>
      <c r="J108" s="3">
        <v>3</v>
      </c>
      <c r="K108" t="s">
        <v>633</v>
      </c>
      <c r="L108" s="3">
        <f t="shared" si="3"/>
        <v>2</v>
      </c>
      <c r="M108" s="3">
        <v>5</v>
      </c>
      <c r="N108" s="3">
        <v>2</v>
      </c>
      <c r="O108" s="3">
        <v>3</v>
      </c>
      <c r="P108" s="3">
        <v>1</v>
      </c>
      <c r="Q108" s="3">
        <v>5</v>
      </c>
      <c r="R108" s="3">
        <v>5</v>
      </c>
      <c r="S108" s="3">
        <v>1</v>
      </c>
      <c r="T108" s="3">
        <v>4</v>
      </c>
      <c r="U108" s="3">
        <v>2</v>
      </c>
      <c r="V108" t="s">
        <v>637</v>
      </c>
      <c r="W108" t="s">
        <v>642</v>
      </c>
      <c r="X108" t="s">
        <v>647</v>
      </c>
      <c r="Y108" t="s">
        <v>653</v>
      </c>
      <c r="Z108" t="s">
        <v>655</v>
      </c>
      <c r="AA108" s="4">
        <v>5</v>
      </c>
      <c r="AB108">
        <v>0</v>
      </c>
      <c r="AC108" s="3">
        <v>2</v>
      </c>
      <c r="AD108" t="s">
        <v>657</v>
      </c>
      <c r="AE108" s="3">
        <f>IF(AE110, 1.25, 1)</f>
        <v>1.25</v>
      </c>
      <c r="AF108" s="3">
        <f>AVERAGE(E108:U108)</f>
        <v>2.6875</v>
      </c>
      <c r="AG108" s="3">
        <f>AVERAGEIF($C:$C, C108, $AE:$AE)</f>
        <v>1.25</v>
      </c>
      <c r="AH108" s="3">
        <f t="shared" si="4"/>
        <v>1.4375</v>
      </c>
      <c r="AI108" s="3">
        <f>IF(Table1[[#This Row],[Attendance Bracket]]="&gt;75%", 1, IF(Table1[[#This Row],[Attendance Bracket]]="50-75%", 0.8, 0.6))</f>
        <v>1</v>
      </c>
      <c r="AJ108" s="3">
        <v>1</v>
      </c>
      <c r="AK108" s="3" t="s">
        <v>684</v>
      </c>
      <c r="AL108" s="3">
        <f>VLOOKUP(C108,Table14[[#All],[Department]:[Publication_count]], 2, FALSE)</f>
        <v>5</v>
      </c>
      <c r="AM108" s="3">
        <v>6.3333333329999997</v>
      </c>
      <c r="AN108" s="3">
        <v>1.474358974</v>
      </c>
    </row>
    <row r="109" spans="1:40" x14ac:dyDescent="0.25">
      <c r="A109" t="s">
        <v>134</v>
      </c>
      <c r="B109" t="s">
        <v>434</v>
      </c>
      <c r="C109" t="s">
        <v>627</v>
      </c>
      <c r="D109" s="5" t="s">
        <v>659</v>
      </c>
      <c r="E109" s="3">
        <v>5</v>
      </c>
      <c r="F109" s="3">
        <v>2</v>
      </c>
      <c r="G109" s="3">
        <v>1</v>
      </c>
      <c r="H109" s="3">
        <v>4</v>
      </c>
      <c r="I109" s="3">
        <v>4</v>
      </c>
      <c r="J109" s="3">
        <v>3</v>
      </c>
      <c r="K109" t="s">
        <v>631</v>
      </c>
      <c r="L109" s="3">
        <f t="shared" si="3"/>
        <v>4</v>
      </c>
      <c r="M109" s="3">
        <v>3</v>
      </c>
      <c r="N109" s="3">
        <v>4</v>
      </c>
      <c r="O109" s="3">
        <v>1</v>
      </c>
      <c r="P109" s="3">
        <v>5</v>
      </c>
      <c r="Q109" s="3">
        <v>1</v>
      </c>
      <c r="R109" s="3">
        <v>3</v>
      </c>
      <c r="S109" s="3">
        <v>1</v>
      </c>
      <c r="T109" s="3">
        <v>2</v>
      </c>
      <c r="U109" s="3">
        <v>5</v>
      </c>
      <c r="V109" t="s">
        <v>639</v>
      </c>
      <c r="W109" t="s">
        <v>643</v>
      </c>
      <c r="X109" t="s">
        <v>649</v>
      </c>
      <c r="Y109" t="s">
        <v>652</v>
      </c>
      <c r="Z109" t="s">
        <v>654</v>
      </c>
      <c r="AA109" s="3">
        <v>6</v>
      </c>
      <c r="AB109">
        <v>1</v>
      </c>
      <c r="AC109" s="3">
        <v>2</v>
      </c>
      <c r="AD109" t="s">
        <v>657</v>
      </c>
      <c r="AE109" s="3">
        <f>IF(AE111, 1.25, 1)</f>
        <v>1.25</v>
      </c>
      <c r="AF109" s="3">
        <f>AVERAGE(E109:U109)</f>
        <v>3</v>
      </c>
      <c r="AG109" s="3">
        <f>AVERAGEIF($C:$C, C109, $AE:$AE)</f>
        <v>1.25</v>
      </c>
      <c r="AH109" s="3">
        <f t="shared" si="4"/>
        <v>1.75</v>
      </c>
      <c r="AI109" s="3">
        <f>IF(Table1[[#This Row],[Attendance Bracket]]="&gt;75%", 1, IF(Table1[[#This Row],[Attendance Bracket]]="50-75%", 0.8, 0.6))</f>
        <v>0.6</v>
      </c>
      <c r="AJ109" s="3">
        <v>2</v>
      </c>
      <c r="AK109" s="3" t="s">
        <v>684</v>
      </c>
      <c r="AL109" s="3">
        <f>VLOOKUP(C109,Table14[[#All],[Department]:[Publication_count]], 2, FALSE)</f>
        <v>5</v>
      </c>
      <c r="AM109" s="3">
        <v>6.3333333329999997</v>
      </c>
      <c r="AN109" s="3">
        <v>1.974358974</v>
      </c>
    </row>
    <row r="110" spans="1:40" x14ac:dyDescent="0.25">
      <c r="A110" t="s">
        <v>135</v>
      </c>
      <c r="B110" t="s">
        <v>435</v>
      </c>
      <c r="C110" t="s">
        <v>629</v>
      </c>
      <c r="D110" s="5" t="s">
        <v>660</v>
      </c>
      <c r="E110" s="3">
        <v>2</v>
      </c>
      <c r="F110" s="3">
        <v>3</v>
      </c>
      <c r="G110" s="3">
        <v>4</v>
      </c>
      <c r="H110" s="3">
        <v>4</v>
      </c>
      <c r="I110" s="3">
        <v>2</v>
      </c>
      <c r="J110" s="3">
        <v>4</v>
      </c>
      <c r="K110" t="s">
        <v>635</v>
      </c>
      <c r="L110" s="3">
        <f t="shared" si="3"/>
        <v>5</v>
      </c>
      <c r="M110" s="3">
        <v>2</v>
      </c>
      <c r="N110" s="3">
        <v>3</v>
      </c>
      <c r="O110" s="3">
        <v>3</v>
      </c>
      <c r="P110" s="3">
        <v>5</v>
      </c>
      <c r="Q110" s="3">
        <v>2</v>
      </c>
      <c r="R110" s="3">
        <v>3</v>
      </c>
      <c r="S110" s="3">
        <v>1</v>
      </c>
      <c r="T110" s="3">
        <v>3</v>
      </c>
      <c r="U110" s="3">
        <v>2</v>
      </c>
      <c r="V110" t="s">
        <v>637</v>
      </c>
      <c r="W110" t="s">
        <v>641</v>
      </c>
      <c r="X110" t="s">
        <v>649</v>
      </c>
      <c r="Y110" t="s">
        <v>651</v>
      </c>
      <c r="Z110" t="s">
        <v>654</v>
      </c>
      <c r="AA110" s="4">
        <v>5</v>
      </c>
      <c r="AB110">
        <v>1</v>
      </c>
      <c r="AC110" s="3">
        <v>4</v>
      </c>
      <c r="AD110" t="s">
        <v>657</v>
      </c>
      <c r="AE110" s="3">
        <f t="shared" si="5"/>
        <v>1.25</v>
      </c>
      <c r="AF110" s="3">
        <f>AVERAGE(E110:U110)</f>
        <v>3</v>
      </c>
      <c r="AG110" s="3">
        <f>AVERAGEIF($C:$C, C110, $AE:$AE)</f>
        <v>1.2450000000000001</v>
      </c>
      <c r="AH110" s="3">
        <f t="shared" si="4"/>
        <v>1.7549999999999999</v>
      </c>
      <c r="AI110" s="3">
        <f>IF(Table1[[#This Row],[Attendance Bracket]]="&gt;75%", 1, IF(Table1[[#This Row],[Attendance Bracket]]="50-75%", 0.8, 0.6))</f>
        <v>0.8</v>
      </c>
      <c r="AJ110" s="3">
        <v>2</v>
      </c>
      <c r="AK110" s="3" t="s">
        <v>684</v>
      </c>
      <c r="AL110" s="3">
        <f>VLOOKUP(C110,Table14[[#All],[Department]:[Publication_count]], 2, FALSE)</f>
        <v>3</v>
      </c>
      <c r="AM110" s="3">
        <v>4.6666666670000003</v>
      </c>
      <c r="AN110" s="3">
        <v>2.2179487180000002</v>
      </c>
    </row>
    <row r="111" spans="1:40" x14ac:dyDescent="0.25">
      <c r="A111" t="s">
        <v>136</v>
      </c>
      <c r="B111" t="s">
        <v>436</v>
      </c>
      <c r="C111" t="s">
        <v>628</v>
      </c>
      <c r="D111" s="5" t="s">
        <v>659</v>
      </c>
      <c r="E111" s="3">
        <v>1</v>
      </c>
      <c r="F111" s="3">
        <v>4</v>
      </c>
      <c r="G111" s="3">
        <v>5</v>
      </c>
      <c r="H111" s="3">
        <v>4</v>
      </c>
      <c r="I111" s="3">
        <v>5</v>
      </c>
      <c r="J111" s="3">
        <v>4</v>
      </c>
      <c r="K111" t="s">
        <v>634</v>
      </c>
      <c r="L111" s="3">
        <f t="shared" si="3"/>
        <v>3</v>
      </c>
      <c r="M111" s="3">
        <v>4</v>
      </c>
      <c r="N111" s="3">
        <v>3</v>
      </c>
      <c r="O111" s="3">
        <v>4</v>
      </c>
      <c r="P111" s="3">
        <v>2</v>
      </c>
      <c r="Q111" s="3">
        <v>1</v>
      </c>
      <c r="R111" s="3">
        <v>3</v>
      </c>
      <c r="S111" s="3">
        <v>1</v>
      </c>
      <c r="T111" s="3">
        <v>4</v>
      </c>
      <c r="U111" s="3">
        <v>4</v>
      </c>
      <c r="V111" t="s">
        <v>638</v>
      </c>
      <c r="W111" t="s">
        <v>641</v>
      </c>
      <c r="X111" t="s">
        <v>650</v>
      </c>
      <c r="Y111" t="s">
        <v>652</v>
      </c>
      <c r="Z111" t="s">
        <v>656</v>
      </c>
      <c r="AA111" s="3">
        <v>19</v>
      </c>
      <c r="AB111">
        <v>0</v>
      </c>
      <c r="AC111" s="3">
        <v>1</v>
      </c>
      <c r="AD111" t="s">
        <v>657</v>
      </c>
      <c r="AE111" s="3">
        <f t="shared" si="5"/>
        <v>1.25</v>
      </c>
      <c r="AF111" s="3">
        <f>AVERAGE(E111:U111)</f>
        <v>3.25</v>
      </c>
      <c r="AG111" s="3">
        <f>AVERAGEIF($C:$C, C111, $AE:$AE)</f>
        <v>1.25</v>
      </c>
      <c r="AH111" s="3">
        <f t="shared" si="4"/>
        <v>2</v>
      </c>
      <c r="AI111" s="3">
        <f>IF(Table1[[#This Row],[Attendance Bracket]]="&gt;75%", 1, IF(Table1[[#This Row],[Attendance Bracket]]="50-75%", 0.8, 0.6))</f>
        <v>0.6</v>
      </c>
      <c r="AJ111" s="3">
        <v>2</v>
      </c>
      <c r="AK111" s="3" t="s">
        <v>684</v>
      </c>
      <c r="AL111" s="3">
        <f>VLOOKUP(C111,Table14[[#All],[Department]:[Publication_count]], 2, FALSE)</f>
        <v>12</v>
      </c>
      <c r="AM111" s="3">
        <v>16.25</v>
      </c>
      <c r="AN111" s="3">
        <v>4.5</v>
      </c>
    </row>
    <row r="112" spans="1:40" x14ac:dyDescent="0.25">
      <c r="A112" t="s">
        <v>137</v>
      </c>
      <c r="B112" t="s">
        <v>437</v>
      </c>
      <c r="C112" t="s">
        <v>627</v>
      </c>
      <c r="D112" s="5" t="s">
        <v>630</v>
      </c>
      <c r="E112" s="3">
        <v>4</v>
      </c>
      <c r="F112" s="3">
        <v>4</v>
      </c>
      <c r="G112" s="3">
        <v>3</v>
      </c>
      <c r="H112" s="3">
        <v>4</v>
      </c>
      <c r="I112" s="3">
        <v>5</v>
      </c>
      <c r="J112" s="3">
        <v>5</v>
      </c>
      <c r="K112" t="s">
        <v>631</v>
      </c>
      <c r="L112" s="3">
        <f t="shared" si="3"/>
        <v>4</v>
      </c>
      <c r="M112" s="3">
        <v>1</v>
      </c>
      <c r="N112" s="3">
        <v>5</v>
      </c>
      <c r="O112" s="3">
        <v>4</v>
      </c>
      <c r="P112" s="3">
        <v>5</v>
      </c>
      <c r="Q112" s="3">
        <v>2</v>
      </c>
      <c r="R112" s="3">
        <v>1</v>
      </c>
      <c r="S112" s="3">
        <v>1</v>
      </c>
      <c r="T112" s="3">
        <v>1</v>
      </c>
      <c r="U112" s="3">
        <v>1</v>
      </c>
      <c r="V112" t="s">
        <v>639</v>
      </c>
      <c r="W112" t="s">
        <v>642</v>
      </c>
      <c r="X112" t="s">
        <v>648</v>
      </c>
      <c r="Y112" t="s">
        <v>652</v>
      </c>
      <c r="Z112" t="s">
        <v>656</v>
      </c>
      <c r="AA112" s="3">
        <v>10</v>
      </c>
      <c r="AB112">
        <v>1</v>
      </c>
      <c r="AC112" s="3">
        <v>5</v>
      </c>
      <c r="AD112" t="s">
        <v>657</v>
      </c>
      <c r="AE112" s="3">
        <f>IF(AE114, 1.25, 1)</f>
        <v>1.25</v>
      </c>
      <c r="AF112" s="3">
        <f>AVERAGE(E112:U112)</f>
        <v>3.125</v>
      </c>
      <c r="AG112" s="3">
        <f>AVERAGEIF($C:$C, C112, $AE:$AE)</f>
        <v>1.25</v>
      </c>
      <c r="AH112" s="3">
        <f t="shared" si="4"/>
        <v>1.875</v>
      </c>
      <c r="AI112" s="3">
        <f>IF(Table1[[#This Row],[Attendance Bracket]]="&gt;75%", 1, IF(Table1[[#This Row],[Attendance Bracket]]="50-75%", 0.8, 0.6))</f>
        <v>0.6</v>
      </c>
      <c r="AJ112" s="3">
        <v>1</v>
      </c>
      <c r="AK112" s="3" t="s">
        <v>684</v>
      </c>
      <c r="AL112" s="3">
        <f>VLOOKUP(C112,Table14[[#All],[Department]:[Publication_count]], 2, FALSE)</f>
        <v>5</v>
      </c>
      <c r="AM112" s="3">
        <v>6.3333333329999997</v>
      </c>
      <c r="AN112" s="3">
        <v>2.9743589739999998</v>
      </c>
    </row>
    <row r="113" spans="1:40" x14ac:dyDescent="0.25">
      <c r="A113" t="s">
        <v>138</v>
      </c>
      <c r="B113" t="s">
        <v>438</v>
      </c>
      <c r="C113" t="s">
        <v>628</v>
      </c>
      <c r="D113" s="5" t="s">
        <v>660</v>
      </c>
      <c r="E113" s="3">
        <v>2</v>
      </c>
      <c r="F113" s="3">
        <v>5</v>
      </c>
      <c r="G113" s="3">
        <v>1</v>
      </c>
      <c r="H113" s="3">
        <v>5</v>
      </c>
      <c r="I113" s="3">
        <v>3</v>
      </c>
      <c r="J113" s="3">
        <v>2</v>
      </c>
      <c r="K113" t="s">
        <v>635</v>
      </c>
      <c r="L113" s="3">
        <f t="shared" si="3"/>
        <v>5</v>
      </c>
      <c r="M113" s="3">
        <v>4</v>
      </c>
      <c r="N113" s="3">
        <v>5</v>
      </c>
      <c r="O113" s="3">
        <v>1</v>
      </c>
      <c r="P113" s="3">
        <v>2</v>
      </c>
      <c r="Q113" s="3">
        <v>3</v>
      </c>
      <c r="R113" s="3">
        <v>4</v>
      </c>
      <c r="S113" s="3">
        <v>4</v>
      </c>
      <c r="T113" s="3">
        <v>5</v>
      </c>
      <c r="U113" s="3">
        <v>3</v>
      </c>
      <c r="V113" t="s">
        <v>636</v>
      </c>
      <c r="W113" t="s">
        <v>642</v>
      </c>
      <c r="X113" t="s">
        <v>647</v>
      </c>
      <c r="Y113" t="s">
        <v>652</v>
      </c>
      <c r="Z113" t="s">
        <v>655</v>
      </c>
      <c r="AA113" s="3">
        <v>15</v>
      </c>
      <c r="AB113">
        <v>0</v>
      </c>
      <c r="AC113" s="3">
        <v>5</v>
      </c>
      <c r="AD113" t="s">
        <v>657</v>
      </c>
      <c r="AE113" s="3">
        <f>IF(AE115, 1.25, 1)</f>
        <v>1.25</v>
      </c>
      <c r="AF113" s="3">
        <f>AVERAGE(E113:U113)</f>
        <v>3.375</v>
      </c>
      <c r="AG113" s="3">
        <f>AVERAGEIF($C:$C, C113, $AE:$AE)</f>
        <v>1.25</v>
      </c>
      <c r="AH113" s="3">
        <f t="shared" si="4"/>
        <v>2.125</v>
      </c>
      <c r="AI113" s="3">
        <f>IF(Table1[[#This Row],[Attendance Bracket]]="&gt;75%", 1, IF(Table1[[#This Row],[Attendance Bracket]]="50-75%", 0.8, 0.6))</f>
        <v>0.6</v>
      </c>
      <c r="AJ113" s="3">
        <v>1</v>
      </c>
      <c r="AK113" s="3" t="s">
        <v>684</v>
      </c>
      <c r="AL113" s="3">
        <f>VLOOKUP(C113,Table14[[#All],[Department]:[Publication_count]], 2, FALSE)</f>
        <v>12</v>
      </c>
      <c r="AM113" s="3">
        <v>16.25</v>
      </c>
      <c r="AN113" s="3">
        <v>5</v>
      </c>
    </row>
    <row r="114" spans="1:40" x14ac:dyDescent="0.25">
      <c r="A114" t="s">
        <v>139</v>
      </c>
      <c r="B114" t="s">
        <v>439</v>
      </c>
      <c r="C114" t="s">
        <v>628</v>
      </c>
      <c r="D114" s="5" t="s">
        <v>659</v>
      </c>
      <c r="E114" s="3">
        <v>5</v>
      </c>
      <c r="F114" s="3">
        <v>4</v>
      </c>
      <c r="G114" s="3">
        <v>1</v>
      </c>
      <c r="H114" s="3">
        <v>5</v>
      </c>
      <c r="I114" s="3">
        <v>5</v>
      </c>
      <c r="J114" s="3">
        <v>1</v>
      </c>
      <c r="K114" t="s">
        <v>632</v>
      </c>
      <c r="L114" s="3">
        <f t="shared" si="3"/>
        <v>1</v>
      </c>
      <c r="M114" s="3">
        <v>2</v>
      </c>
      <c r="N114" s="3">
        <v>3</v>
      </c>
      <c r="O114" s="3">
        <v>4</v>
      </c>
      <c r="P114" s="3">
        <v>4</v>
      </c>
      <c r="Q114" s="3">
        <v>4</v>
      </c>
      <c r="R114" s="3">
        <v>2</v>
      </c>
      <c r="S114" s="3">
        <v>5</v>
      </c>
      <c r="T114" s="3">
        <v>3</v>
      </c>
      <c r="U114" s="3">
        <v>1</v>
      </c>
      <c r="V114" t="s">
        <v>637</v>
      </c>
      <c r="W114" t="s">
        <v>643</v>
      </c>
      <c r="X114" t="s">
        <v>649</v>
      </c>
      <c r="Y114" t="s">
        <v>651</v>
      </c>
      <c r="Z114" t="s">
        <v>654</v>
      </c>
      <c r="AA114" s="4">
        <v>5</v>
      </c>
      <c r="AB114">
        <v>1</v>
      </c>
      <c r="AC114" s="3">
        <v>5</v>
      </c>
      <c r="AD114" t="s">
        <v>657</v>
      </c>
      <c r="AE114" s="3">
        <f t="shared" si="5"/>
        <v>1.25</v>
      </c>
      <c r="AF114" s="3">
        <f>AVERAGE(E114:U114)</f>
        <v>3.125</v>
      </c>
      <c r="AG114" s="3">
        <f>AVERAGEIF($C:$C, C114, $AE:$AE)</f>
        <v>1.25</v>
      </c>
      <c r="AH114" s="3">
        <f t="shared" si="4"/>
        <v>1.875</v>
      </c>
      <c r="AI114" s="3">
        <f>IF(Table1[[#This Row],[Attendance Bracket]]="&gt;75%", 1, IF(Table1[[#This Row],[Attendance Bracket]]="50-75%", 0.8, 0.6))</f>
        <v>0.8</v>
      </c>
      <c r="AJ114" s="3">
        <v>2</v>
      </c>
      <c r="AK114" s="3" t="s">
        <v>684</v>
      </c>
      <c r="AL114" s="3">
        <f>VLOOKUP(C114,Table14[[#All],[Department]:[Publication_count]], 2, FALSE)</f>
        <v>12</v>
      </c>
      <c r="AM114" s="3">
        <v>16.25</v>
      </c>
      <c r="AN114" s="3">
        <v>4.5</v>
      </c>
    </row>
    <row r="115" spans="1:40" x14ac:dyDescent="0.25">
      <c r="A115" t="s">
        <v>140</v>
      </c>
      <c r="B115" t="s">
        <v>440</v>
      </c>
      <c r="C115" t="s">
        <v>628</v>
      </c>
      <c r="D115" s="5" t="s">
        <v>630</v>
      </c>
      <c r="E115" s="3">
        <v>4</v>
      </c>
      <c r="F115" s="3">
        <v>1</v>
      </c>
      <c r="G115" s="3">
        <v>3</v>
      </c>
      <c r="H115" s="3">
        <v>5</v>
      </c>
      <c r="I115" s="3">
        <v>2</v>
      </c>
      <c r="J115" s="3">
        <v>5</v>
      </c>
      <c r="K115" t="s">
        <v>631</v>
      </c>
      <c r="L115" s="3">
        <f t="shared" si="3"/>
        <v>4</v>
      </c>
      <c r="M115" s="3">
        <v>1</v>
      </c>
      <c r="N115" s="3">
        <v>5</v>
      </c>
      <c r="O115" s="3">
        <v>3</v>
      </c>
      <c r="P115" s="3">
        <v>5</v>
      </c>
      <c r="Q115" s="3">
        <v>1</v>
      </c>
      <c r="R115" s="3">
        <v>2</v>
      </c>
      <c r="S115" s="3">
        <v>5</v>
      </c>
      <c r="T115" s="3">
        <v>2</v>
      </c>
      <c r="U115" s="3">
        <v>1</v>
      </c>
      <c r="V115" t="s">
        <v>639</v>
      </c>
      <c r="W115" t="s">
        <v>645</v>
      </c>
      <c r="X115" t="s">
        <v>647</v>
      </c>
      <c r="Y115" t="s">
        <v>652</v>
      </c>
      <c r="Z115" t="s">
        <v>654</v>
      </c>
      <c r="AA115" s="3">
        <v>10</v>
      </c>
      <c r="AB115">
        <v>1</v>
      </c>
      <c r="AC115" s="3">
        <v>4</v>
      </c>
      <c r="AD115" t="s">
        <v>657</v>
      </c>
      <c r="AE115" s="3">
        <f t="shared" si="5"/>
        <v>1.25</v>
      </c>
      <c r="AF115" s="3">
        <f>AVERAGE(E115:U115)</f>
        <v>3.0625</v>
      </c>
      <c r="AG115" s="3">
        <f>AVERAGEIF($C:$C, C115, $AE:$AE)</f>
        <v>1.25</v>
      </c>
      <c r="AH115" s="3">
        <f t="shared" si="4"/>
        <v>1.8125</v>
      </c>
      <c r="AI115" s="3">
        <f>IF(Table1[[#This Row],[Attendance Bracket]]="&gt;75%", 1, IF(Table1[[#This Row],[Attendance Bracket]]="50-75%", 0.8, 0.6))</f>
        <v>0.6</v>
      </c>
      <c r="AJ115" s="3">
        <v>3</v>
      </c>
      <c r="AK115" s="3" t="s">
        <v>634</v>
      </c>
      <c r="AL115" s="3">
        <f>VLOOKUP(C115,Table14[[#All],[Department]:[Publication_count]], 2, FALSE)</f>
        <v>12</v>
      </c>
      <c r="AM115" s="3">
        <v>16.25</v>
      </c>
      <c r="AN115" s="3">
        <v>3</v>
      </c>
    </row>
    <row r="116" spans="1:40" x14ac:dyDescent="0.25">
      <c r="A116" t="s">
        <v>141</v>
      </c>
      <c r="B116" t="s">
        <v>441</v>
      </c>
      <c r="C116" t="s">
        <v>627</v>
      </c>
      <c r="D116" s="5" t="s">
        <v>659</v>
      </c>
      <c r="E116" s="3">
        <v>3</v>
      </c>
      <c r="F116" s="3">
        <v>3</v>
      </c>
      <c r="G116" s="3">
        <v>2</v>
      </c>
      <c r="H116" s="3">
        <v>1</v>
      </c>
      <c r="I116" s="3">
        <v>1</v>
      </c>
      <c r="J116" s="3">
        <v>1</v>
      </c>
      <c r="K116" t="s">
        <v>635</v>
      </c>
      <c r="L116" s="3">
        <f t="shared" si="3"/>
        <v>5</v>
      </c>
      <c r="M116" s="3">
        <v>2</v>
      </c>
      <c r="N116" s="3">
        <v>5</v>
      </c>
      <c r="O116" s="3">
        <v>2</v>
      </c>
      <c r="P116" s="3">
        <v>5</v>
      </c>
      <c r="Q116" s="3">
        <v>3</v>
      </c>
      <c r="R116" s="3">
        <v>5</v>
      </c>
      <c r="S116" s="3">
        <v>5</v>
      </c>
      <c r="T116" s="3">
        <v>3</v>
      </c>
      <c r="U116" s="3">
        <v>4</v>
      </c>
      <c r="V116" t="s">
        <v>638</v>
      </c>
      <c r="W116" t="s">
        <v>644</v>
      </c>
      <c r="X116" t="s">
        <v>647</v>
      </c>
      <c r="Y116" t="s">
        <v>651</v>
      </c>
      <c r="Z116" t="s">
        <v>655</v>
      </c>
      <c r="AA116" s="3">
        <v>9</v>
      </c>
      <c r="AB116">
        <v>0</v>
      </c>
      <c r="AC116" s="3">
        <v>3</v>
      </c>
      <c r="AD116" t="s">
        <v>657</v>
      </c>
      <c r="AE116" s="3">
        <f t="shared" si="5"/>
        <v>1.25</v>
      </c>
      <c r="AF116" s="3">
        <f>AVERAGE(E116:U116)</f>
        <v>3.125</v>
      </c>
      <c r="AG116" s="3">
        <f>AVERAGEIF($C:$C, C116, $AE:$AE)</f>
        <v>1.25</v>
      </c>
      <c r="AH116" s="3">
        <f t="shared" si="4"/>
        <v>1.875</v>
      </c>
      <c r="AI116" s="3">
        <f>IF(Table1[[#This Row],[Attendance Bracket]]="&gt;75%", 1, IF(Table1[[#This Row],[Attendance Bracket]]="50-75%", 0.8, 0.6))</f>
        <v>0.8</v>
      </c>
      <c r="AJ116" s="3">
        <v>2</v>
      </c>
      <c r="AK116" s="3" t="s">
        <v>684</v>
      </c>
      <c r="AL116" s="3">
        <f>VLOOKUP(C116,Table14[[#All],[Department]:[Publication_count]], 2, FALSE)</f>
        <v>5</v>
      </c>
      <c r="AM116" s="3">
        <v>6.3333333329999997</v>
      </c>
      <c r="AN116" s="3">
        <v>2.4743589739999998</v>
      </c>
    </row>
    <row r="117" spans="1:40" x14ac:dyDescent="0.25">
      <c r="A117" t="s">
        <v>142</v>
      </c>
      <c r="B117" t="s">
        <v>442</v>
      </c>
      <c r="C117" t="s">
        <v>629</v>
      </c>
      <c r="D117" s="5" t="s">
        <v>660</v>
      </c>
      <c r="E117" s="3">
        <v>3</v>
      </c>
      <c r="F117" s="3">
        <v>5</v>
      </c>
      <c r="G117" s="3">
        <v>2</v>
      </c>
      <c r="H117" s="3">
        <v>3</v>
      </c>
      <c r="I117" s="3">
        <v>5</v>
      </c>
      <c r="J117" s="3">
        <v>5</v>
      </c>
      <c r="K117" t="s">
        <v>633</v>
      </c>
      <c r="L117" s="3">
        <f t="shared" si="3"/>
        <v>2</v>
      </c>
      <c r="M117" s="3">
        <v>1</v>
      </c>
      <c r="N117" s="3">
        <v>3</v>
      </c>
      <c r="O117" s="3">
        <v>3</v>
      </c>
      <c r="P117" s="3">
        <v>1</v>
      </c>
      <c r="Q117" s="3">
        <v>4</v>
      </c>
      <c r="R117" s="3">
        <v>5</v>
      </c>
      <c r="S117" s="3">
        <v>1</v>
      </c>
      <c r="T117" s="3">
        <v>5</v>
      </c>
      <c r="U117" s="3">
        <v>1</v>
      </c>
      <c r="V117" t="s">
        <v>639</v>
      </c>
      <c r="W117" t="s">
        <v>642</v>
      </c>
      <c r="X117" t="s">
        <v>647</v>
      </c>
      <c r="Y117" t="s">
        <v>651</v>
      </c>
      <c r="Z117" t="s">
        <v>655</v>
      </c>
      <c r="AA117" s="3">
        <v>11</v>
      </c>
      <c r="AB117">
        <v>0</v>
      </c>
      <c r="AC117" s="3">
        <v>2</v>
      </c>
      <c r="AD117" t="s">
        <v>657</v>
      </c>
      <c r="AE117" s="3">
        <f t="shared" si="5"/>
        <v>1.25</v>
      </c>
      <c r="AF117" s="3">
        <f>AVERAGE(E117:U117)</f>
        <v>3.0625</v>
      </c>
      <c r="AG117" s="3">
        <f>AVERAGEIF($C:$C, C117, $AE:$AE)</f>
        <v>1.2450000000000001</v>
      </c>
      <c r="AH117" s="3">
        <f t="shared" si="4"/>
        <v>1.8174999999999999</v>
      </c>
      <c r="AI117" s="3">
        <f>IF(Table1[[#This Row],[Attendance Bracket]]="&gt;75%", 1, IF(Table1[[#This Row],[Attendance Bracket]]="50-75%", 0.8, 0.6))</f>
        <v>0.8</v>
      </c>
      <c r="AJ117" s="3">
        <v>1</v>
      </c>
      <c r="AK117" s="3" t="s">
        <v>684</v>
      </c>
      <c r="AL117" s="3">
        <f>VLOOKUP(C117,Table14[[#All],[Department]:[Publication_count]], 2, FALSE)</f>
        <v>3</v>
      </c>
      <c r="AM117" s="3">
        <v>4.6666666670000003</v>
      </c>
      <c r="AN117" s="3">
        <v>3.2179487180000002</v>
      </c>
    </row>
    <row r="118" spans="1:40" x14ac:dyDescent="0.25">
      <c r="A118" t="s">
        <v>143</v>
      </c>
      <c r="B118" t="s">
        <v>443</v>
      </c>
      <c r="C118" t="s">
        <v>627</v>
      </c>
      <c r="D118" s="5" t="s">
        <v>659</v>
      </c>
      <c r="E118" s="3">
        <v>2</v>
      </c>
      <c r="F118" s="3">
        <v>3</v>
      </c>
      <c r="G118" s="3">
        <v>4</v>
      </c>
      <c r="H118" s="3">
        <v>3</v>
      </c>
      <c r="I118" s="3">
        <v>2</v>
      </c>
      <c r="J118" s="3">
        <v>3</v>
      </c>
      <c r="K118" t="s">
        <v>631</v>
      </c>
      <c r="L118" s="3">
        <f t="shared" si="3"/>
        <v>4</v>
      </c>
      <c r="M118" s="3">
        <v>3</v>
      </c>
      <c r="N118" s="3">
        <v>4</v>
      </c>
      <c r="O118" s="3">
        <v>4</v>
      </c>
      <c r="P118" s="3">
        <v>2</v>
      </c>
      <c r="Q118" s="3">
        <v>5</v>
      </c>
      <c r="R118" s="3">
        <v>2</v>
      </c>
      <c r="S118" s="3">
        <v>4</v>
      </c>
      <c r="T118" s="3">
        <v>4</v>
      </c>
      <c r="U118" s="3">
        <v>3</v>
      </c>
      <c r="V118" t="s">
        <v>639</v>
      </c>
      <c r="W118" t="s">
        <v>641</v>
      </c>
      <c r="X118" t="s">
        <v>648</v>
      </c>
      <c r="Y118" t="s">
        <v>652</v>
      </c>
      <c r="Z118" t="s">
        <v>654</v>
      </c>
      <c r="AA118" s="3">
        <v>10</v>
      </c>
      <c r="AB118">
        <v>1</v>
      </c>
      <c r="AC118" s="3">
        <v>4</v>
      </c>
      <c r="AD118" t="s">
        <v>657</v>
      </c>
      <c r="AE118" s="3">
        <f t="shared" si="5"/>
        <v>1.25</v>
      </c>
      <c r="AF118" s="3">
        <f>AVERAGE(E118:U118)</f>
        <v>3.25</v>
      </c>
      <c r="AG118" s="3">
        <f>AVERAGEIF($C:$C, C118, $AE:$AE)</f>
        <v>1.25</v>
      </c>
      <c r="AH118" s="3">
        <f t="shared" si="4"/>
        <v>2</v>
      </c>
      <c r="AI118" s="3">
        <f>IF(Table1[[#This Row],[Attendance Bracket]]="&gt;75%", 1, IF(Table1[[#This Row],[Attendance Bracket]]="50-75%", 0.8, 0.6))</f>
        <v>0.6</v>
      </c>
      <c r="AJ118" s="3">
        <v>2</v>
      </c>
      <c r="AK118" s="3" t="s">
        <v>684</v>
      </c>
      <c r="AL118" s="3">
        <f>VLOOKUP(C118,Table14[[#All],[Department]:[Publication_count]], 2, FALSE)</f>
        <v>5</v>
      </c>
      <c r="AM118" s="3">
        <v>6.3333333329999997</v>
      </c>
      <c r="AN118" s="3">
        <v>2.4743589739999998</v>
      </c>
    </row>
    <row r="119" spans="1:40" x14ac:dyDescent="0.25">
      <c r="A119" t="s">
        <v>144</v>
      </c>
      <c r="B119" t="s">
        <v>444</v>
      </c>
      <c r="C119" t="s">
        <v>628</v>
      </c>
      <c r="D119" s="5" t="s">
        <v>660</v>
      </c>
      <c r="E119" s="3">
        <v>1</v>
      </c>
      <c r="F119" s="3">
        <v>4</v>
      </c>
      <c r="G119" s="3">
        <v>4</v>
      </c>
      <c r="H119" s="3">
        <v>1</v>
      </c>
      <c r="I119" s="3">
        <v>1</v>
      </c>
      <c r="J119" s="3">
        <v>3</v>
      </c>
      <c r="K119" t="s">
        <v>634</v>
      </c>
      <c r="L119" s="3">
        <f t="shared" si="3"/>
        <v>3</v>
      </c>
      <c r="M119" s="3">
        <v>4</v>
      </c>
      <c r="N119" s="3">
        <v>3</v>
      </c>
      <c r="O119" s="3">
        <v>4</v>
      </c>
      <c r="P119" s="3">
        <v>4</v>
      </c>
      <c r="Q119" s="3">
        <v>3</v>
      </c>
      <c r="R119" s="3">
        <v>3</v>
      </c>
      <c r="S119" s="3">
        <v>1</v>
      </c>
      <c r="T119" s="3">
        <v>5</v>
      </c>
      <c r="U119" s="3">
        <v>2</v>
      </c>
      <c r="V119" t="s">
        <v>636</v>
      </c>
      <c r="W119" t="s">
        <v>642</v>
      </c>
      <c r="X119" t="s">
        <v>647</v>
      </c>
      <c r="Y119" t="s">
        <v>653</v>
      </c>
      <c r="Z119" t="s">
        <v>655</v>
      </c>
      <c r="AA119" s="3">
        <v>13</v>
      </c>
      <c r="AB119">
        <v>1</v>
      </c>
      <c r="AC119" s="3">
        <v>4</v>
      </c>
      <c r="AD119" t="s">
        <v>657</v>
      </c>
      <c r="AE119" s="3">
        <f t="shared" si="5"/>
        <v>1.25</v>
      </c>
      <c r="AF119" s="3">
        <f>AVERAGE(E119:U119)</f>
        <v>2.875</v>
      </c>
      <c r="AG119" s="3">
        <f>AVERAGEIF($C:$C, C119, $AE:$AE)</f>
        <v>1.25</v>
      </c>
      <c r="AH119" s="3">
        <f t="shared" si="4"/>
        <v>1.625</v>
      </c>
      <c r="AI119" s="3">
        <f>IF(Table1[[#This Row],[Attendance Bracket]]="&gt;75%", 1, IF(Table1[[#This Row],[Attendance Bracket]]="50-75%", 0.8, 0.6))</f>
        <v>1</v>
      </c>
      <c r="AJ119" s="3">
        <v>1</v>
      </c>
      <c r="AK119" s="3" t="s">
        <v>684</v>
      </c>
      <c r="AL119" s="3">
        <f>VLOOKUP(C119,Table14[[#All],[Department]:[Publication_count]], 2, FALSE)</f>
        <v>12</v>
      </c>
      <c r="AM119" s="3">
        <v>16.25</v>
      </c>
      <c r="AN119" s="3">
        <v>4.5</v>
      </c>
    </row>
    <row r="120" spans="1:40" x14ac:dyDescent="0.25">
      <c r="A120" t="s">
        <v>145</v>
      </c>
      <c r="B120" t="s">
        <v>445</v>
      </c>
      <c r="C120" t="s">
        <v>627</v>
      </c>
      <c r="D120" s="5" t="s">
        <v>660</v>
      </c>
      <c r="E120" s="3">
        <v>2</v>
      </c>
      <c r="F120" s="3">
        <v>5</v>
      </c>
      <c r="G120" s="3">
        <v>2</v>
      </c>
      <c r="H120" s="3">
        <v>1</v>
      </c>
      <c r="I120" s="3">
        <v>3</v>
      </c>
      <c r="J120" s="3">
        <v>1</v>
      </c>
      <c r="K120" t="s">
        <v>634</v>
      </c>
      <c r="L120" s="3">
        <f t="shared" si="3"/>
        <v>3</v>
      </c>
      <c r="M120" s="3">
        <v>2</v>
      </c>
      <c r="N120" s="3">
        <v>1</v>
      </c>
      <c r="O120" s="3">
        <v>4</v>
      </c>
      <c r="P120" s="3">
        <v>5</v>
      </c>
      <c r="Q120" s="3">
        <v>2</v>
      </c>
      <c r="R120" s="3">
        <v>3</v>
      </c>
      <c r="S120" s="3">
        <v>5</v>
      </c>
      <c r="T120" s="3">
        <v>4</v>
      </c>
      <c r="U120" s="3">
        <v>2</v>
      </c>
      <c r="V120" t="s">
        <v>639</v>
      </c>
      <c r="W120" t="s">
        <v>644</v>
      </c>
      <c r="X120" t="s">
        <v>648</v>
      </c>
      <c r="Y120" t="s">
        <v>652</v>
      </c>
      <c r="Z120" t="s">
        <v>654</v>
      </c>
      <c r="AA120" s="3">
        <v>20</v>
      </c>
      <c r="AB120">
        <v>1</v>
      </c>
      <c r="AC120" s="3">
        <v>5</v>
      </c>
      <c r="AD120" t="s">
        <v>657</v>
      </c>
      <c r="AE120" s="3">
        <f t="shared" si="5"/>
        <v>1.25</v>
      </c>
      <c r="AF120" s="3">
        <f>AVERAGE(E120:U120)</f>
        <v>2.8125</v>
      </c>
      <c r="AG120" s="3">
        <f>AVERAGEIF($C:$C, C120, $AE:$AE)</f>
        <v>1.25</v>
      </c>
      <c r="AH120" s="3">
        <f t="shared" si="4"/>
        <v>1.5625</v>
      </c>
      <c r="AI120" s="3">
        <f>IF(Table1[[#This Row],[Attendance Bracket]]="&gt;75%", 1, IF(Table1[[#This Row],[Attendance Bracket]]="50-75%", 0.8, 0.6))</f>
        <v>0.6</v>
      </c>
      <c r="AJ120" s="3">
        <v>2</v>
      </c>
      <c r="AK120" s="3" t="s">
        <v>684</v>
      </c>
      <c r="AL120" s="3">
        <f>VLOOKUP(C120,Table14[[#All],[Department]:[Publication_count]], 2, FALSE)</f>
        <v>5</v>
      </c>
      <c r="AM120" s="3">
        <v>6.3333333329999997</v>
      </c>
      <c r="AN120" s="3">
        <v>3.4743589739999998</v>
      </c>
    </row>
    <row r="121" spans="1:40" x14ac:dyDescent="0.25">
      <c r="A121" t="s">
        <v>146</v>
      </c>
      <c r="B121" t="s">
        <v>446</v>
      </c>
      <c r="C121" t="s">
        <v>627</v>
      </c>
      <c r="D121" s="5" t="s">
        <v>659</v>
      </c>
      <c r="E121" s="3">
        <v>2</v>
      </c>
      <c r="F121" s="3">
        <v>3</v>
      </c>
      <c r="G121" s="3">
        <v>5</v>
      </c>
      <c r="H121" s="3">
        <v>3</v>
      </c>
      <c r="I121" s="3">
        <v>1</v>
      </c>
      <c r="J121" s="3">
        <v>1</v>
      </c>
      <c r="K121" t="s">
        <v>635</v>
      </c>
      <c r="L121" s="3">
        <f t="shared" si="3"/>
        <v>5</v>
      </c>
      <c r="M121" s="3">
        <v>2</v>
      </c>
      <c r="N121" s="3">
        <v>3</v>
      </c>
      <c r="O121" s="3">
        <v>3</v>
      </c>
      <c r="P121" s="3">
        <v>2</v>
      </c>
      <c r="Q121" s="3">
        <v>1</v>
      </c>
      <c r="R121" s="3">
        <v>5</v>
      </c>
      <c r="S121" s="3">
        <v>4</v>
      </c>
      <c r="T121" s="3">
        <v>3</v>
      </c>
      <c r="U121" s="3">
        <v>2</v>
      </c>
      <c r="V121" t="s">
        <v>636</v>
      </c>
      <c r="W121" t="s">
        <v>645</v>
      </c>
      <c r="X121" t="s">
        <v>650</v>
      </c>
      <c r="Y121" t="s">
        <v>651</v>
      </c>
      <c r="Z121" t="s">
        <v>656</v>
      </c>
      <c r="AA121" s="3">
        <v>12</v>
      </c>
      <c r="AB121">
        <v>0</v>
      </c>
      <c r="AC121" s="3">
        <v>4</v>
      </c>
      <c r="AD121" t="s">
        <v>657</v>
      </c>
      <c r="AE121" s="3">
        <f t="shared" si="5"/>
        <v>1.25</v>
      </c>
      <c r="AF121" s="3">
        <f>AVERAGE(E121:U121)</f>
        <v>2.8125</v>
      </c>
      <c r="AG121" s="3">
        <f>AVERAGEIF($C:$C, C121, $AE:$AE)</f>
        <v>1.25</v>
      </c>
      <c r="AH121" s="3">
        <f t="shared" si="4"/>
        <v>1.5625</v>
      </c>
      <c r="AI121" s="3">
        <f>IF(Table1[[#This Row],[Attendance Bracket]]="&gt;75%", 1, IF(Table1[[#This Row],[Attendance Bracket]]="50-75%", 0.8, 0.6))</f>
        <v>0.8</v>
      </c>
      <c r="AJ121" s="3">
        <v>3</v>
      </c>
      <c r="AK121" s="3" t="s">
        <v>634</v>
      </c>
      <c r="AL121" s="3">
        <f>VLOOKUP(C121,Table14[[#All],[Department]:[Publication_count]], 2, FALSE)</f>
        <v>5</v>
      </c>
      <c r="AM121" s="3">
        <v>6.3333333329999997</v>
      </c>
      <c r="AN121" s="3">
        <v>2.4743589739999998</v>
      </c>
    </row>
    <row r="122" spans="1:40" x14ac:dyDescent="0.25">
      <c r="A122" t="s">
        <v>147</v>
      </c>
      <c r="B122" t="s">
        <v>447</v>
      </c>
      <c r="C122" t="s">
        <v>627</v>
      </c>
      <c r="D122" s="5" t="s">
        <v>660</v>
      </c>
      <c r="E122" s="3">
        <v>4</v>
      </c>
      <c r="F122" s="3">
        <v>1</v>
      </c>
      <c r="G122" s="3">
        <v>1</v>
      </c>
      <c r="H122" s="3">
        <v>3</v>
      </c>
      <c r="I122" s="3">
        <v>1</v>
      </c>
      <c r="J122" s="3">
        <v>5</v>
      </c>
      <c r="K122" t="s">
        <v>631</v>
      </c>
      <c r="L122" s="3">
        <f t="shared" si="3"/>
        <v>4</v>
      </c>
      <c r="M122" s="3">
        <v>2</v>
      </c>
      <c r="N122" s="3">
        <v>2</v>
      </c>
      <c r="O122" s="3">
        <v>4</v>
      </c>
      <c r="P122" s="3">
        <v>5</v>
      </c>
      <c r="Q122" s="3">
        <v>1</v>
      </c>
      <c r="R122" s="3">
        <v>5</v>
      </c>
      <c r="S122" s="3">
        <v>1</v>
      </c>
      <c r="T122" s="3">
        <v>1</v>
      </c>
      <c r="U122" s="3">
        <v>4</v>
      </c>
      <c r="V122" t="s">
        <v>639</v>
      </c>
      <c r="W122" t="s">
        <v>644</v>
      </c>
      <c r="X122" t="s">
        <v>650</v>
      </c>
      <c r="Y122" t="s">
        <v>652</v>
      </c>
      <c r="Z122" t="s">
        <v>654</v>
      </c>
      <c r="AA122" s="3">
        <v>10</v>
      </c>
      <c r="AB122">
        <v>1</v>
      </c>
      <c r="AC122" s="3">
        <v>3</v>
      </c>
      <c r="AD122" t="s">
        <v>657</v>
      </c>
      <c r="AE122" s="3">
        <f t="shared" si="5"/>
        <v>1.25</v>
      </c>
      <c r="AF122" s="3">
        <f>AVERAGE(E122:U122)</f>
        <v>2.75</v>
      </c>
      <c r="AG122" s="3">
        <f>AVERAGEIF($C:$C, C122, $AE:$AE)</f>
        <v>1.25</v>
      </c>
      <c r="AH122" s="3">
        <f t="shared" si="4"/>
        <v>1.5</v>
      </c>
      <c r="AI122" s="3">
        <f>IF(Table1[[#This Row],[Attendance Bracket]]="&gt;75%", 1, IF(Table1[[#This Row],[Attendance Bracket]]="50-75%", 0.8, 0.6))</f>
        <v>0.6</v>
      </c>
      <c r="AJ122" s="3">
        <v>2</v>
      </c>
      <c r="AK122" s="3" t="s">
        <v>684</v>
      </c>
      <c r="AL122" s="3">
        <f>VLOOKUP(C122,Table14[[#All],[Department]:[Publication_count]], 2, FALSE)</f>
        <v>5</v>
      </c>
      <c r="AM122" s="3">
        <v>6.3333333329999997</v>
      </c>
      <c r="AN122" s="3">
        <v>1.474358974</v>
      </c>
    </row>
    <row r="123" spans="1:40" x14ac:dyDescent="0.25">
      <c r="A123" t="s">
        <v>148</v>
      </c>
      <c r="B123" t="s">
        <v>448</v>
      </c>
      <c r="C123" t="s">
        <v>628</v>
      </c>
      <c r="D123" s="5" t="s">
        <v>659</v>
      </c>
      <c r="E123" s="3">
        <v>5</v>
      </c>
      <c r="F123" s="3">
        <v>1</v>
      </c>
      <c r="G123" s="3">
        <v>5</v>
      </c>
      <c r="H123" s="3">
        <v>5</v>
      </c>
      <c r="I123" s="3">
        <v>4</v>
      </c>
      <c r="J123" s="3">
        <v>1</v>
      </c>
      <c r="K123" t="s">
        <v>633</v>
      </c>
      <c r="L123" s="3">
        <f t="shared" si="3"/>
        <v>2</v>
      </c>
      <c r="M123" s="3">
        <v>3</v>
      </c>
      <c r="N123" s="3">
        <v>4</v>
      </c>
      <c r="O123" s="3">
        <v>1</v>
      </c>
      <c r="P123" s="3">
        <v>1</v>
      </c>
      <c r="Q123" s="3">
        <v>1</v>
      </c>
      <c r="R123" s="3">
        <v>4</v>
      </c>
      <c r="S123" s="3">
        <v>3</v>
      </c>
      <c r="T123" s="3">
        <v>3</v>
      </c>
      <c r="U123" s="3">
        <v>2</v>
      </c>
      <c r="V123" t="s">
        <v>640</v>
      </c>
      <c r="W123" t="s">
        <v>644</v>
      </c>
      <c r="X123" t="s">
        <v>648</v>
      </c>
      <c r="Y123" t="s">
        <v>651</v>
      </c>
      <c r="Z123" t="s">
        <v>654</v>
      </c>
      <c r="AA123" s="3">
        <v>14</v>
      </c>
      <c r="AB123">
        <v>0</v>
      </c>
      <c r="AC123" s="3">
        <v>5</v>
      </c>
      <c r="AD123" t="s">
        <v>657</v>
      </c>
      <c r="AE123" s="3">
        <f t="shared" si="5"/>
        <v>1.25</v>
      </c>
      <c r="AF123" s="3">
        <f>AVERAGE(E123:U123)</f>
        <v>2.8125</v>
      </c>
      <c r="AG123" s="3">
        <f>AVERAGEIF($C:$C, C123, $AE:$AE)</f>
        <v>1.25</v>
      </c>
      <c r="AH123" s="3">
        <f t="shared" si="4"/>
        <v>1.5625</v>
      </c>
      <c r="AI123" s="3">
        <f>IF(Table1[[#This Row],[Attendance Bracket]]="&gt;75%", 1, IF(Table1[[#This Row],[Attendance Bracket]]="50-75%", 0.8, 0.6))</f>
        <v>0.8</v>
      </c>
      <c r="AJ123" s="3">
        <v>2</v>
      </c>
      <c r="AK123" s="3" t="s">
        <v>684</v>
      </c>
      <c r="AL123" s="3">
        <f>VLOOKUP(C123,Table14[[#All],[Department]:[Publication_count]], 2, FALSE)</f>
        <v>12</v>
      </c>
      <c r="AM123" s="3">
        <v>16.25</v>
      </c>
      <c r="AN123" s="3">
        <v>3</v>
      </c>
    </row>
    <row r="124" spans="1:40" x14ac:dyDescent="0.25">
      <c r="A124" t="s">
        <v>149</v>
      </c>
      <c r="B124" t="s">
        <v>449</v>
      </c>
      <c r="C124" t="s">
        <v>629</v>
      </c>
      <c r="D124" s="5" t="s">
        <v>659</v>
      </c>
      <c r="E124" s="3">
        <v>5</v>
      </c>
      <c r="F124" s="3">
        <v>1</v>
      </c>
      <c r="G124" s="3">
        <v>3</v>
      </c>
      <c r="H124" s="3">
        <v>1</v>
      </c>
      <c r="I124" s="3">
        <v>4</v>
      </c>
      <c r="J124" s="3">
        <v>5</v>
      </c>
      <c r="K124" t="s">
        <v>632</v>
      </c>
      <c r="L124" s="3">
        <f t="shared" si="3"/>
        <v>1</v>
      </c>
      <c r="M124" s="3">
        <v>4</v>
      </c>
      <c r="N124" s="3">
        <v>5</v>
      </c>
      <c r="O124" s="3">
        <v>4</v>
      </c>
      <c r="P124" s="3">
        <v>2</v>
      </c>
      <c r="Q124" s="3">
        <v>3</v>
      </c>
      <c r="R124" s="3">
        <v>3</v>
      </c>
      <c r="S124" s="3">
        <v>1</v>
      </c>
      <c r="T124" s="3">
        <v>3</v>
      </c>
      <c r="U124" s="3">
        <v>5</v>
      </c>
      <c r="V124" t="s">
        <v>636</v>
      </c>
      <c r="W124" t="s">
        <v>642</v>
      </c>
      <c r="X124" t="s">
        <v>646</v>
      </c>
      <c r="Y124" t="s">
        <v>651</v>
      </c>
      <c r="Z124" t="s">
        <v>654</v>
      </c>
      <c r="AA124" s="3">
        <v>14</v>
      </c>
      <c r="AB124">
        <v>1</v>
      </c>
      <c r="AC124" s="3">
        <v>2</v>
      </c>
      <c r="AD124" t="s">
        <v>657</v>
      </c>
      <c r="AE124" s="3">
        <f>IF(AE126, 1.25, 1)</f>
        <v>1.25</v>
      </c>
      <c r="AF124" s="3">
        <f>AVERAGE(E124:U124)</f>
        <v>3.125</v>
      </c>
      <c r="AG124" s="3">
        <f>AVERAGEIF($C:$C, C124, $AE:$AE)</f>
        <v>1.2450000000000001</v>
      </c>
      <c r="AH124" s="3">
        <f t="shared" si="4"/>
        <v>1.88</v>
      </c>
      <c r="AI124" s="3">
        <f>IF(Table1[[#This Row],[Attendance Bracket]]="&gt;75%", 1, IF(Table1[[#This Row],[Attendance Bracket]]="50-75%", 0.8, 0.6))</f>
        <v>0.8</v>
      </c>
      <c r="AJ124" s="3">
        <v>1</v>
      </c>
      <c r="AK124" s="3" t="s">
        <v>684</v>
      </c>
      <c r="AL124" s="3">
        <f>VLOOKUP(C124,Table14[[#All],[Department]:[Publication_count]], 2, FALSE)</f>
        <v>3</v>
      </c>
      <c r="AM124" s="3">
        <v>4.6666666670000003</v>
      </c>
      <c r="AN124" s="3">
        <v>1.2179487179999999</v>
      </c>
    </row>
    <row r="125" spans="1:40" x14ac:dyDescent="0.25">
      <c r="A125" t="s">
        <v>150</v>
      </c>
      <c r="B125" t="s">
        <v>450</v>
      </c>
      <c r="C125" t="s">
        <v>627</v>
      </c>
      <c r="D125" s="5" t="s">
        <v>659</v>
      </c>
      <c r="E125" s="3">
        <v>5</v>
      </c>
      <c r="F125" s="3">
        <v>4</v>
      </c>
      <c r="G125" s="3">
        <v>1</v>
      </c>
      <c r="H125" s="3">
        <v>5</v>
      </c>
      <c r="I125" s="3">
        <v>3</v>
      </c>
      <c r="J125" s="3">
        <v>3</v>
      </c>
      <c r="K125" t="s">
        <v>631</v>
      </c>
      <c r="L125" s="3">
        <f t="shared" si="3"/>
        <v>4</v>
      </c>
      <c r="M125" s="3">
        <v>1</v>
      </c>
      <c r="N125" s="3">
        <v>2</v>
      </c>
      <c r="O125" s="3">
        <v>1</v>
      </c>
      <c r="P125" s="3">
        <v>4</v>
      </c>
      <c r="Q125" s="3">
        <v>4</v>
      </c>
      <c r="R125" s="3">
        <v>4</v>
      </c>
      <c r="S125" s="3">
        <v>3</v>
      </c>
      <c r="T125" s="3">
        <v>5</v>
      </c>
      <c r="U125" s="3">
        <v>3</v>
      </c>
      <c r="V125" t="s">
        <v>640</v>
      </c>
      <c r="W125" t="s">
        <v>641</v>
      </c>
      <c r="X125" t="s">
        <v>650</v>
      </c>
      <c r="Y125" t="s">
        <v>651</v>
      </c>
      <c r="Z125" t="s">
        <v>655</v>
      </c>
      <c r="AA125" s="3">
        <v>6</v>
      </c>
      <c r="AB125">
        <v>1</v>
      </c>
      <c r="AC125" s="3">
        <v>1</v>
      </c>
      <c r="AD125" t="s">
        <v>657</v>
      </c>
      <c r="AE125" s="3">
        <f>IF(AE127, 1.25, 1)</f>
        <v>1.25</v>
      </c>
      <c r="AF125" s="3">
        <f>AVERAGE(E125:U125)</f>
        <v>3.25</v>
      </c>
      <c r="AG125" s="3">
        <f>AVERAGEIF($C:$C, C125, $AE:$AE)</f>
        <v>1.25</v>
      </c>
      <c r="AH125" s="3">
        <f t="shared" si="4"/>
        <v>2</v>
      </c>
      <c r="AI125" s="3">
        <f>IF(Table1[[#This Row],[Attendance Bracket]]="&gt;75%", 1, IF(Table1[[#This Row],[Attendance Bracket]]="50-75%", 0.8, 0.6))</f>
        <v>0.8</v>
      </c>
      <c r="AJ125" s="3">
        <v>2</v>
      </c>
      <c r="AK125" s="3" t="s">
        <v>684</v>
      </c>
      <c r="AL125" s="3">
        <f>VLOOKUP(C125,Table14[[#All],[Department]:[Publication_count]], 2, FALSE)</f>
        <v>5</v>
      </c>
      <c r="AM125" s="3">
        <v>6.3333333329999997</v>
      </c>
      <c r="AN125" s="3">
        <v>2.9743589739999998</v>
      </c>
    </row>
    <row r="126" spans="1:40" x14ac:dyDescent="0.25">
      <c r="A126" t="s">
        <v>151</v>
      </c>
      <c r="B126" t="s">
        <v>451</v>
      </c>
      <c r="C126" t="s">
        <v>628</v>
      </c>
      <c r="D126" s="5" t="s">
        <v>659</v>
      </c>
      <c r="E126" s="3">
        <v>4</v>
      </c>
      <c r="F126" s="3">
        <v>2</v>
      </c>
      <c r="G126" s="3">
        <v>4</v>
      </c>
      <c r="H126" s="3">
        <v>3</v>
      </c>
      <c r="I126" s="3">
        <v>4</v>
      </c>
      <c r="J126" s="3">
        <v>2</v>
      </c>
      <c r="K126" t="s">
        <v>631</v>
      </c>
      <c r="L126" s="3">
        <f t="shared" si="3"/>
        <v>4</v>
      </c>
      <c r="M126" s="3">
        <v>2</v>
      </c>
      <c r="N126" s="3">
        <v>4</v>
      </c>
      <c r="O126" s="3">
        <v>4</v>
      </c>
      <c r="P126" s="3">
        <v>4</v>
      </c>
      <c r="Q126" s="3">
        <v>4</v>
      </c>
      <c r="R126" s="3">
        <v>5</v>
      </c>
      <c r="S126" s="3">
        <v>1</v>
      </c>
      <c r="T126" s="3">
        <v>2</v>
      </c>
      <c r="U126" s="3">
        <v>2</v>
      </c>
      <c r="V126" t="s">
        <v>638</v>
      </c>
      <c r="W126" t="s">
        <v>645</v>
      </c>
      <c r="X126" t="s">
        <v>647</v>
      </c>
      <c r="Y126" t="s">
        <v>651</v>
      </c>
      <c r="Z126" t="s">
        <v>656</v>
      </c>
      <c r="AA126" s="4">
        <v>5</v>
      </c>
      <c r="AB126">
        <v>0</v>
      </c>
      <c r="AC126" s="3">
        <v>4</v>
      </c>
      <c r="AD126" t="s">
        <v>657</v>
      </c>
      <c r="AE126" s="3">
        <f t="shared" si="5"/>
        <v>1.25</v>
      </c>
      <c r="AF126" s="3">
        <f>AVERAGE(E126:U126)</f>
        <v>3.1875</v>
      </c>
      <c r="AG126" s="3">
        <f>AVERAGEIF($C:$C, C126, $AE:$AE)</f>
        <v>1.25</v>
      </c>
      <c r="AH126" s="3">
        <f t="shared" si="4"/>
        <v>1.9375</v>
      </c>
      <c r="AI126" s="3">
        <f>IF(Table1[[#This Row],[Attendance Bracket]]="&gt;75%", 1, IF(Table1[[#This Row],[Attendance Bracket]]="50-75%", 0.8, 0.6))</f>
        <v>0.8</v>
      </c>
      <c r="AJ126" s="3">
        <v>3</v>
      </c>
      <c r="AK126" s="3" t="s">
        <v>634</v>
      </c>
      <c r="AL126" s="3">
        <f>VLOOKUP(C126,Table14[[#All],[Department]:[Publication_count]], 2, FALSE)</f>
        <v>12</v>
      </c>
      <c r="AM126" s="3">
        <v>16.25</v>
      </c>
      <c r="AN126" s="3">
        <v>3.5</v>
      </c>
    </row>
    <row r="127" spans="1:40" x14ac:dyDescent="0.25">
      <c r="A127" t="s">
        <v>152</v>
      </c>
      <c r="B127" t="s">
        <v>452</v>
      </c>
      <c r="C127" t="s">
        <v>627</v>
      </c>
      <c r="D127" s="5" t="s">
        <v>630</v>
      </c>
      <c r="E127" s="3">
        <v>5</v>
      </c>
      <c r="F127" s="3">
        <v>2</v>
      </c>
      <c r="G127" s="3">
        <v>1</v>
      </c>
      <c r="H127" s="3">
        <v>5</v>
      </c>
      <c r="I127" s="3">
        <v>4</v>
      </c>
      <c r="J127" s="3">
        <v>2</v>
      </c>
      <c r="K127" t="s">
        <v>632</v>
      </c>
      <c r="L127" s="3">
        <f t="shared" si="3"/>
        <v>1</v>
      </c>
      <c r="M127" s="3">
        <v>4</v>
      </c>
      <c r="N127" s="3">
        <v>5</v>
      </c>
      <c r="O127" s="3">
        <v>4</v>
      </c>
      <c r="P127" s="3">
        <v>3</v>
      </c>
      <c r="Q127" s="3">
        <v>5</v>
      </c>
      <c r="R127" s="3">
        <v>3</v>
      </c>
      <c r="S127" s="3">
        <v>4</v>
      </c>
      <c r="T127" s="3">
        <v>3</v>
      </c>
      <c r="U127" s="3">
        <v>4</v>
      </c>
      <c r="V127" t="s">
        <v>638</v>
      </c>
      <c r="W127" t="s">
        <v>645</v>
      </c>
      <c r="X127" t="s">
        <v>650</v>
      </c>
      <c r="Y127" t="s">
        <v>653</v>
      </c>
      <c r="Z127" t="s">
        <v>654</v>
      </c>
      <c r="AA127" s="3">
        <v>9</v>
      </c>
      <c r="AB127">
        <v>1</v>
      </c>
      <c r="AC127" s="3">
        <v>5</v>
      </c>
      <c r="AD127" t="s">
        <v>657</v>
      </c>
      <c r="AE127" s="3">
        <f t="shared" si="5"/>
        <v>1.25</v>
      </c>
      <c r="AF127" s="3">
        <f>AVERAGE(E127:U127)</f>
        <v>3.4375</v>
      </c>
      <c r="AG127" s="3">
        <f>AVERAGEIF($C:$C, C127, $AE:$AE)</f>
        <v>1.25</v>
      </c>
      <c r="AH127" s="3">
        <f t="shared" si="4"/>
        <v>2.1875</v>
      </c>
      <c r="AI127" s="3">
        <f>IF(Table1[[#This Row],[Attendance Bracket]]="&gt;75%", 1, IF(Table1[[#This Row],[Attendance Bracket]]="50-75%", 0.8, 0.6))</f>
        <v>1</v>
      </c>
      <c r="AJ127" s="3">
        <v>3</v>
      </c>
      <c r="AK127" s="3" t="s">
        <v>634</v>
      </c>
      <c r="AL127" s="3">
        <f>VLOOKUP(C127,Table14[[#All],[Department]:[Publication_count]], 2, FALSE)</f>
        <v>5</v>
      </c>
      <c r="AM127" s="3">
        <v>6.3333333329999997</v>
      </c>
      <c r="AN127" s="3">
        <v>1.974358974</v>
      </c>
    </row>
    <row r="128" spans="1:40" x14ac:dyDescent="0.25">
      <c r="A128" t="s">
        <v>153</v>
      </c>
      <c r="B128" t="s">
        <v>453</v>
      </c>
      <c r="C128" t="s">
        <v>628</v>
      </c>
      <c r="D128" s="5" t="s">
        <v>630</v>
      </c>
      <c r="E128" s="3">
        <v>1</v>
      </c>
      <c r="F128" s="3">
        <v>3</v>
      </c>
      <c r="G128" s="3">
        <v>5</v>
      </c>
      <c r="H128" s="3">
        <v>2</v>
      </c>
      <c r="I128" s="3">
        <v>4</v>
      </c>
      <c r="J128" s="3">
        <v>1</v>
      </c>
      <c r="K128" t="s">
        <v>631</v>
      </c>
      <c r="L128" s="3">
        <f t="shared" si="3"/>
        <v>4</v>
      </c>
      <c r="M128" s="3">
        <v>3</v>
      </c>
      <c r="N128" s="3">
        <v>1</v>
      </c>
      <c r="O128" s="3">
        <v>1</v>
      </c>
      <c r="P128" s="3">
        <v>3</v>
      </c>
      <c r="Q128" s="3">
        <v>2</v>
      </c>
      <c r="R128" s="3">
        <v>1</v>
      </c>
      <c r="S128" s="3">
        <v>4</v>
      </c>
      <c r="T128" s="3">
        <v>5</v>
      </c>
      <c r="U128" s="3">
        <v>3</v>
      </c>
      <c r="V128" t="s">
        <v>637</v>
      </c>
      <c r="W128" t="s">
        <v>644</v>
      </c>
      <c r="X128" t="s">
        <v>649</v>
      </c>
      <c r="Y128" t="s">
        <v>653</v>
      </c>
      <c r="Z128" t="s">
        <v>656</v>
      </c>
      <c r="AA128" s="3">
        <v>7</v>
      </c>
      <c r="AB128">
        <v>1</v>
      </c>
      <c r="AC128" s="3">
        <v>3</v>
      </c>
      <c r="AD128" t="s">
        <v>657</v>
      </c>
      <c r="AE128" s="3">
        <f t="shared" si="5"/>
        <v>1.25</v>
      </c>
      <c r="AF128" s="3">
        <f>AVERAGE(E128:U128)</f>
        <v>2.6875</v>
      </c>
      <c r="AG128" s="3">
        <f>AVERAGEIF($C:$C, C128, $AE:$AE)</f>
        <v>1.25</v>
      </c>
      <c r="AH128" s="3">
        <f t="shared" si="4"/>
        <v>1.4375</v>
      </c>
      <c r="AI128" s="3">
        <f>IF(Table1[[#This Row],[Attendance Bracket]]="&gt;75%", 1, IF(Table1[[#This Row],[Attendance Bracket]]="50-75%", 0.8, 0.6))</f>
        <v>1</v>
      </c>
      <c r="AJ128" s="3">
        <v>2</v>
      </c>
      <c r="AK128" s="3" t="s">
        <v>684</v>
      </c>
      <c r="AL128" s="3">
        <f>VLOOKUP(C128,Table14[[#All],[Department]:[Publication_count]], 2, FALSE)</f>
        <v>12</v>
      </c>
      <c r="AM128" s="3">
        <v>16.25</v>
      </c>
      <c r="AN128" s="3">
        <v>4</v>
      </c>
    </row>
    <row r="129" spans="1:40" x14ac:dyDescent="0.25">
      <c r="A129" t="s">
        <v>154</v>
      </c>
      <c r="B129" t="s">
        <v>454</v>
      </c>
      <c r="C129" t="s">
        <v>629</v>
      </c>
      <c r="D129" s="5" t="s">
        <v>660</v>
      </c>
      <c r="E129" s="3">
        <v>2</v>
      </c>
      <c r="F129" s="3">
        <v>3</v>
      </c>
      <c r="G129" s="3">
        <v>4</v>
      </c>
      <c r="H129" s="3">
        <v>2</v>
      </c>
      <c r="I129" s="3">
        <v>3</v>
      </c>
      <c r="J129" s="3">
        <v>5</v>
      </c>
      <c r="K129" t="s">
        <v>633</v>
      </c>
      <c r="L129" s="3">
        <f t="shared" si="3"/>
        <v>2</v>
      </c>
      <c r="M129" s="3">
        <v>4</v>
      </c>
      <c r="N129" s="3">
        <v>2</v>
      </c>
      <c r="O129" s="3">
        <v>2</v>
      </c>
      <c r="P129" s="3">
        <v>2</v>
      </c>
      <c r="Q129" s="3">
        <v>1</v>
      </c>
      <c r="R129" s="3">
        <v>5</v>
      </c>
      <c r="S129" s="3">
        <v>5</v>
      </c>
      <c r="T129" s="3">
        <v>4</v>
      </c>
      <c r="U129" s="3">
        <v>4</v>
      </c>
      <c r="V129" t="s">
        <v>636</v>
      </c>
      <c r="W129" t="s">
        <v>644</v>
      </c>
      <c r="X129" t="s">
        <v>649</v>
      </c>
      <c r="Y129" t="s">
        <v>653</v>
      </c>
      <c r="Z129" t="s">
        <v>654</v>
      </c>
      <c r="AA129" s="3">
        <v>17</v>
      </c>
      <c r="AB129">
        <v>0</v>
      </c>
      <c r="AC129" s="3">
        <v>2</v>
      </c>
      <c r="AD129" t="s">
        <v>657</v>
      </c>
      <c r="AE129" s="3">
        <f t="shared" si="5"/>
        <v>1.25</v>
      </c>
      <c r="AF129" s="3">
        <f>AVERAGE(E129:U129)</f>
        <v>3.125</v>
      </c>
      <c r="AG129" s="3">
        <f>AVERAGEIF($C:$C, C129, $AE:$AE)</f>
        <v>1.2450000000000001</v>
      </c>
      <c r="AH129" s="3">
        <f t="shared" si="4"/>
        <v>1.88</v>
      </c>
      <c r="AI129" s="3">
        <f>IF(Table1[[#This Row],[Attendance Bracket]]="&gt;75%", 1, IF(Table1[[#This Row],[Attendance Bracket]]="50-75%", 0.8, 0.6))</f>
        <v>1</v>
      </c>
      <c r="AJ129" s="3">
        <v>2</v>
      </c>
      <c r="AK129" s="3" t="s">
        <v>684</v>
      </c>
      <c r="AL129" s="3">
        <f>VLOOKUP(C129,Table14[[#All],[Department]:[Publication_count]], 2, FALSE)</f>
        <v>3</v>
      </c>
      <c r="AM129" s="3">
        <v>4.6666666670000003</v>
      </c>
      <c r="AN129" s="3">
        <v>2.2179487180000002</v>
      </c>
    </row>
    <row r="130" spans="1:40" x14ac:dyDescent="0.25">
      <c r="A130" t="s">
        <v>155</v>
      </c>
      <c r="B130" t="s">
        <v>455</v>
      </c>
      <c r="C130" t="s">
        <v>627</v>
      </c>
      <c r="D130" s="5" t="s">
        <v>659</v>
      </c>
      <c r="E130" s="3">
        <v>3</v>
      </c>
      <c r="F130" s="3">
        <v>2</v>
      </c>
      <c r="G130" s="3">
        <v>1</v>
      </c>
      <c r="H130" s="3">
        <v>1</v>
      </c>
      <c r="I130" s="3">
        <v>1</v>
      </c>
      <c r="J130" s="3">
        <v>3</v>
      </c>
      <c r="K130" t="s">
        <v>632</v>
      </c>
      <c r="L130" s="3">
        <f t="shared" ref="L130:L193" si="6">IF(TRIM(K130)="Strongly Agree", 5, IF(TRIM(K130)="Agree", 4, IF(TRIM(K130)="Neutral", 3, IF(TRIM(K130)="Disagree", 2, IF(TRIM(K130)="Strongly Disagree", 1, 0)))))</f>
        <v>1</v>
      </c>
      <c r="M130" s="3">
        <v>3</v>
      </c>
      <c r="N130" s="3">
        <v>4</v>
      </c>
      <c r="O130" s="3">
        <v>1</v>
      </c>
      <c r="P130" s="3">
        <v>5</v>
      </c>
      <c r="Q130" s="3">
        <v>1</v>
      </c>
      <c r="R130" s="3">
        <v>3</v>
      </c>
      <c r="S130" s="3">
        <v>5</v>
      </c>
      <c r="T130" s="3">
        <v>3</v>
      </c>
      <c r="U130" s="3">
        <v>5</v>
      </c>
      <c r="V130" t="s">
        <v>640</v>
      </c>
      <c r="W130" t="s">
        <v>643</v>
      </c>
      <c r="X130" t="s">
        <v>646</v>
      </c>
      <c r="Y130" t="s">
        <v>653</v>
      </c>
      <c r="Z130" t="s">
        <v>656</v>
      </c>
      <c r="AA130" s="3">
        <v>6</v>
      </c>
      <c r="AB130">
        <v>0</v>
      </c>
      <c r="AC130" s="3">
        <v>2</v>
      </c>
      <c r="AD130" t="s">
        <v>657</v>
      </c>
      <c r="AE130" s="3">
        <f t="shared" si="5"/>
        <v>1.25</v>
      </c>
      <c r="AF130" s="3">
        <f>AVERAGE(E130:U130)</f>
        <v>2.625</v>
      </c>
      <c r="AG130" s="3">
        <f>AVERAGEIF($C:$C, C130, $AE:$AE)</f>
        <v>1.25</v>
      </c>
      <c r="AH130" s="3">
        <f t="shared" ref="AH130:AH193" si="7">AF130- AG130</f>
        <v>1.375</v>
      </c>
      <c r="AI130" s="3">
        <f>IF(Table1[[#This Row],[Attendance Bracket]]="&gt;75%", 1, IF(Table1[[#This Row],[Attendance Bracket]]="50-75%", 0.8, 0.6))</f>
        <v>1</v>
      </c>
      <c r="AJ130" s="3">
        <v>2</v>
      </c>
      <c r="AK130" s="3" t="s">
        <v>684</v>
      </c>
      <c r="AL130" s="3">
        <f>VLOOKUP(C130,Table14[[#All],[Department]:[Publication_count]], 2, FALSE)</f>
        <v>5</v>
      </c>
      <c r="AM130" s="3">
        <v>6.3333333329999997</v>
      </c>
      <c r="AN130" s="3">
        <v>1.974358974</v>
      </c>
    </row>
    <row r="131" spans="1:40" x14ac:dyDescent="0.25">
      <c r="A131" t="s">
        <v>156</v>
      </c>
      <c r="B131" t="s">
        <v>456</v>
      </c>
      <c r="C131" t="s">
        <v>627</v>
      </c>
      <c r="D131" s="5" t="s">
        <v>659</v>
      </c>
      <c r="E131" s="3">
        <v>2</v>
      </c>
      <c r="F131" s="3">
        <v>2</v>
      </c>
      <c r="G131" s="3">
        <v>2</v>
      </c>
      <c r="H131" s="3">
        <v>4</v>
      </c>
      <c r="I131" s="3">
        <v>5</v>
      </c>
      <c r="J131" s="3">
        <v>4</v>
      </c>
      <c r="K131" t="s">
        <v>631</v>
      </c>
      <c r="L131" s="3">
        <f t="shared" si="6"/>
        <v>4</v>
      </c>
      <c r="M131" s="3">
        <v>1</v>
      </c>
      <c r="N131" s="3">
        <v>2</v>
      </c>
      <c r="O131" s="3">
        <v>5</v>
      </c>
      <c r="P131" s="3">
        <v>4</v>
      </c>
      <c r="Q131" s="3">
        <v>4</v>
      </c>
      <c r="R131" s="3">
        <v>1</v>
      </c>
      <c r="S131" s="3">
        <v>5</v>
      </c>
      <c r="T131" s="3">
        <v>5</v>
      </c>
      <c r="U131" s="3">
        <v>4</v>
      </c>
      <c r="V131" t="s">
        <v>638</v>
      </c>
      <c r="W131" t="s">
        <v>641</v>
      </c>
      <c r="X131" t="s">
        <v>648</v>
      </c>
      <c r="Y131" t="s">
        <v>652</v>
      </c>
      <c r="Z131" t="s">
        <v>656</v>
      </c>
      <c r="AA131" s="3">
        <v>8</v>
      </c>
      <c r="AB131">
        <v>0</v>
      </c>
      <c r="AC131" s="3">
        <v>3</v>
      </c>
      <c r="AD131" t="s">
        <v>657</v>
      </c>
      <c r="AE131" s="3">
        <f t="shared" si="5"/>
        <v>1.25</v>
      </c>
      <c r="AF131" s="3">
        <f>AVERAGE(E131:U131)</f>
        <v>3.375</v>
      </c>
      <c r="AG131" s="3">
        <f>AVERAGEIF($C:$C, C131, $AE:$AE)</f>
        <v>1.25</v>
      </c>
      <c r="AH131" s="3">
        <f t="shared" si="7"/>
        <v>2.125</v>
      </c>
      <c r="AI131" s="3">
        <f>IF(Table1[[#This Row],[Attendance Bracket]]="&gt;75%", 1, IF(Table1[[#This Row],[Attendance Bracket]]="50-75%", 0.8, 0.6))</f>
        <v>0.6</v>
      </c>
      <c r="AJ131" s="3">
        <v>2</v>
      </c>
      <c r="AK131" s="3" t="s">
        <v>684</v>
      </c>
      <c r="AL131" s="3">
        <f>VLOOKUP(C131,Table14[[#All],[Department]:[Publication_count]], 2, FALSE)</f>
        <v>5</v>
      </c>
      <c r="AM131" s="3">
        <v>6.3333333329999997</v>
      </c>
      <c r="AN131" s="3">
        <v>1.974358974</v>
      </c>
    </row>
    <row r="132" spans="1:40" x14ac:dyDescent="0.25">
      <c r="A132" t="s">
        <v>157</v>
      </c>
      <c r="B132" t="s">
        <v>457</v>
      </c>
      <c r="C132" t="s">
        <v>629</v>
      </c>
      <c r="D132" s="5" t="s">
        <v>660</v>
      </c>
      <c r="E132" s="3">
        <v>1</v>
      </c>
      <c r="F132" s="3">
        <v>4</v>
      </c>
      <c r="G132" s="3">
        <v>5</v>
      </c>
      <c r="H132" s="3">
        <v>1</v>
      </c>
      <c r="I132" s="3">
        <v>3</v>
      </c>
      <c r="J132" s="3">
        <v>4</v>
      </c>
      <c r="K132" t="s">
        <v>632</v>
      </c>
      <c r="L132" s="3">
        <f t="shared" si="6"/>
        <v>1</v>
      </c>
      <c r="M132" s="3">
        <v>3</v>
      </c>
      <c r="N132" s="3">
        <v>5</v>
      </c>
      <c r="O132" s="3">
        <v>3</v>
      </c>
      <c r="P132" s="3">
        <v>4</v>
      </c>
      <c r="Q132" s="3">
        <v>5</v>
      </c>
      <c r="R132" s="3">
        <v>1</v>
      </c>
      <c r="S132" s="3">
        <v>3</v>
      </c>
      <c r="T132" s="3">
        <v>1</v>
      </c>
      <c r="U132" s="3">
        <v>4</v>
      </c>
      <c r="V132" t="s">
        <v>639</v>
      </c>
      <c r="W132" t="s">
        <v>643</v>
      </c>
      <c r="X132" t="s">
        <v>649</v>
      </c>
      <c r="Y132" t="s">
        <v>652</v>
      </c>
      <c r="Z132" t="s">
        <v>655</v>
      </c>
      <c r="AA132" s="3">
        <v>17</v>
      </c>
      <c r="AB132">
        <v>0</v>
      </c>
      <c r="AC132" s="3">
        <v>4</v>
      </c>
      <c r="AD132" t="s">
        <v>657</v>
      </c>
      <c r="AE132" s="3">
        <f t="shared" ref="AE132:AE195" si="8">IF(AE134, 1.25, 1)</f>
        <v>1.25</v>
      </c>
      <c r="AF132" s="3">
        <f>AVERAGE(E132:U132)</f>
        <v>3</v>
      </c>
      <c r="AG132" s="3">
        <f>AVERAGEIF($C:$C, C132, $AE:$AE)</f>
        <v>1.2450000000000001</v>
      </c>
      <c r="AH132" s="3">
        <f t="shared" si="7"/>
        <v>1.7549999999999999</v>
      </c>
      <c r="AI132" s="3">
        <f>IF(Table1[[#This Row],[Attendance Bracket]]="&gt;75%", 1, IF(Table1[[#This Row],[Attendance Bracket]]="50-75%", 0.8, 0.6))</f>
        <v>0.6</v>
      </c>
      <c r="AJ132" s="3">
        <v>2</v>
      </c>
      <c r="AK132" s="3" t="s">
        <v>684</v>
      </c>
      <c r="AL132" s="3">
        <f>VLOOKUP(C132,Table14[[#All],[Department]:[Publication_count]], 2, FALSE)</f>
        <v>3</v>
      </c>
      <c r="AM132" s="3">
        <v>4.6666666670000003</v>
      </c>
      <c r="AN132" s="3">
        <v>2.7179487180000002</v>
      </c>
    </row>
    <row r="133" spans="1:40" x14ac:dyDescent="0.25">
      <c r="A133" t="s">
        <v>158</v>
      </c>
      <c r="B133" t="s">
        <v>458</v>
      </c>
      <c r="C133" t="s">
        <v>629</v>
      </c>
      <c r="D133" s="5" t="s">
        <v>630</v>
      </c>
      <c r="E133" s="3">
        <v>3</v>
      </c>
      <c r="F133" s="3">
        <v>4</v>
      </c>
      <c r="G133" s="3">
        <v>4</v>
      </c>
      <c r="H133" s="3">
        <v>3</v>
      </c>
      <c r="I133" s="3">
        <v>2</v>
      </c>
      <c r="J133" s="3">
        <v>1</v>
      </c>
      <c r="K133" t="s">
        <v>635</v>
      </c>
      <c r="L133" s="3">
        <f t="shared" si="6"/>
        <v>5</v>
      </c>
      <c r="M133" s="3">
        <v>5</v>
      </c>
      <c r="N133" s="3">
        <v>4</v>
      </c>
      <c r="O133" s="3">
        <v>2</v>
      </c>
      <c r="P133" s="3">
        <v>1</v>
      </c>
      <c r="Q133" s="3">
        <v>3</v>
      </c>
      <c r="R133" s="3">
        <v>5</v>
      </c>
      <c r="S133" s="3">
        <v>4</v>
      </c>
      <c r="T133" s="3">
        <v>4</v>
      </c>
      <c r="U133" s="3">
        <v>1</v>
      </c>
      <c r="V133" t="s">
        <v>640</v>
      </c>
      <c r="W133" t="s">
        <v>642</v>
      </c>
      <c r="X133" t="s">
        <v>646</v>
      </c>
      <c r="Y133" t="s">
        <v>653</v>
      </c>
      <c r="Z133" t="s">
        <v>656</v>
      </c>
      <c r="AA133" s="3">
        <v>17</v>
      </c>
      <c r="AB133">
        <v>1</v>
      </c>
      <c r="AC133" s="3">
        <v>1</v>
      </c>
      <c r="AD133" t="s">
        <v>657</v>
      </c>
      <c r="AE133" s="3">
        <f t="shared" si="8"/>
        <v>1.25</v>
      </c>
      <c r="AF133" s="3">
        <f>AVERAGE(E133:U133)</f>
        <v>3.1875</v>
      </c>
      <c r="AG133" s="3">
        <f>AVERAGEIF($C:$C, C133, $AE:$AE)</f>
        <v>1.2450000000000001</v>
      </c>
      <c r="AH133" s="3">
        <f t="shared" si="7"/>
        <v>1.9424999999999999</v>
      </c>
      <c r="AI133" s="3">
        <f>IF(Table1[[#This Row],[Attendance Bracket]]="&gt;75%", 1, IF(Table1[[#This Row],[Attendance Bracket]]="50-75%", 0.8, 0.6))</f>
        <v>1</v>
      </c>
      <c r="AJ133" s="3">
        <v>1</v>
      </c>
      <c r="AK133" s="3" t="s">
        <v>684</v>
      </c>
      <c r="AL133" s="3">
        <f>VLOOKUP(C133,Table14[[#All],[Department]:[Publication_count]], 2, FALSE)</f>
        <v>3</v>
      </c>
      <c r="AM133" s="3">
        <v>4.6666666670000003</v>
      </c>
      <c r="AN133" s="3">
        <v>2.7179487180000002</v>
      </c>
    </row>
    <row r="134" spans="1:40" x14ac:dyDescent="0.25">
      <c r="A134" t="s">
        <v>159</v>
      </c>
      <c r="B134" t="s">
        <v>459</v>
      </c>
      <c r="C134" t="s">
        <v>629</v>
      </c>
      <c r="D134" s="5" t="s">
        <v>659</v>
      </c>
      <c r="E134" s="3">
        <v>2</v>
      </c>
      <c r="F134" s="3">
        <v>1</v>
      </c>
      <c r="G134" s="3">
        <v>2</v>
      </c>
      <c r="H134" s="3">
        <v>5</v>
      </c>
      <c r="I134" s="3">
        <v>1</v>
      </c>
      <c r="J134" s="3">
        <v>5</v>
      </c>
      <c r="K134" t="s">
        <v>633</v>
      </c>
      <c r="L134" s="3">
        <f t="shared" si="6"/>
        <v>2</v>
      </c>
      <c r="M134" s="3">
        <v>4</v>
      </c>
      <c r="N134" s="3">
        <v>3</v>
      </c>
      <c r="O134" s="3">
        <v>3</v>
      </c>
      <c r="P134" s="3">
        <v>2</v>
      </c>
      <c r="Q134" s="3">
        <v>5</v>
      </c>
      <c r="R134" s="3">
        <v>4</v>
      </c>
      <c r="S134" s="3">
        <v>3</v>
      </c>
      <c r="T134" s="3">
        <v>2</v>
      </c>
      <c r="U134" s="3">
        <v>1</v>
      </c>
      <c r="V134" t="s">
        <v>640</v>
      </c>
      <c r="W134" t="s">
        <v>641</v>
      </c>
      <c r="X134" t="s">
        <v>647</v>
      </c>
      <c r="Y134" t="s">
        <v>651</v>
      </c>
      <c r="Z134" t="s">
        <v>656</v>
      </c>
      <c r="AA134" s="3">
        <v>12</v>
      </c>
      <c r="AB134">
        <v>1</v>
      </c>
      <c r="AC134" s="3">
        <v>4</v>
      </c>
      <c r="AD134" t="s">
        <v>657</v>
      </c>
      <c r="AE134" s="3">
        <f t="shared" si="8"/>
        <v>1.25</v>
      </c>
      <c r="AF134" s="3">
        <f>AVERAGE(E134:U134)</f>
        <v>2.8125</v>
      </c>
      <c r="AG134" s="3">
        <f>AVERAGEIF($C:$C, C134, $AE:$AE)</f>
        <v>1.2450000000000001</v>
      </c>
      <c r="AH134" s="3">
        <f t="shared" si="7"/>
        <v>1.5674999999999999</v>
      </c>
      <c r="AI134" s="3">
        <f>IF(Table1[[#This Row],[Attendance Bracket]]="&gt;75%", 1, IF(Table1[[#This Row],[Attendance Bracket]]="50-75%", 0.8, 0.6))</f>
        <v>0.8</v>
      </c>
      <c r="AJ134" s="3">
        <v>2</v>
      </c>
      <c r="AK134" s="3" t="s">
        <v>684</v>
      </c>
      <c r="AL134" s="3">
        <f>VLOOKUP(C134,Table14[[#All],[Department]:[Publication_count]], 2, FALSE)</f>
        <v>3</v>
      </c>
      <c r="AM134" s="3">
        <v>4.6666666670000003</v>
      </c>
      <c r="AN134" s="3">
        <v>1.2179487179999999</v>
      </c>
    </row>
    <row r="135" spans="1:40" x14ac:dyDescent="0.25">
      <c r="A135" t="s">
        <v>160</v>
      </c>
      <c r="B135" t="s">
        <v>460</v>
      </c>
      <c r="C135" t="s">
        <v>629</v>
      </c>
      <c r="D135" s="5" t="s">
        <v>659</v>
      </c>
      <c r="E135" s="3">
        <v>1</v>
      </c>
      <c r="F135" s="3">
        <v>1</v>
      </c>
      <c r="G135" s="3">
        <v>3</v>
      </c>
      <c r="H135" s="3">
        <v>4</v>
      </c>
      <c r="I135" s="3">
        <v>1</v>
      </c>
      <c r="J135" s="3">
        <v>1</v>
      </c>
      <c r="K135" t="s">
        <v>633</v>
      </c>
      <c r="L135" s="3">
        <f t="shared" si="6"/>
        <v>2</v>
      </c>
      <c r="M135" s="3">
        <v>3</v>
      </c>
      <c r="N135" s="3">
        <v>4</v>
      </c>
      <c r="O135" s="3">
        <v>2</v>
      </c>
      <c r="P135" s="3">
        <v>3</v>
      </c>
      <c r="Q135" s="3">
        <v>5</v>
      </c>
      <c r="R135" s="3">
        <v>3</v>
      </c>
      <c r="S135" s="3">
        <v>4</v>
      </c>
      <c r="T135" s="3">
        <v>1</v>
      </c>
      <c r="U135" s="3">
        <v>3</v>
      </c>
      <c r="V135" t="s">
        <v>638</v>
      </c>
      <c r="W135" t="s">
        <v>642</v>
      </c>
      <c r="X135" t="s">
        <v>648</v>
      </c>
      <c r="Y135" t="s">
        <v>652</v>
      </c>
      <c r="Z135" t="s">
        <v>656</v>
      </c>
      <c r="AA135" s="3">
        <v>20</v>
      </c>
      <c r="AB135">
        <v>1</v>
      </c>
      <c r="AC135" s="3">
        <v>1</v>
      </c>
      <c r="AD135" t="s">
        <v>657</v>
      </c>
      <c r="AE135" s="3">
        <f t="shared" si="8"/>
        <v>1.25</v>
      </c>
      <c r="AF135" s="3">
        <f>AVERAGE(E135:U135)</f>
        <v>2.5625</v>
      </c>
      <c r="AG135" s="3">
        <f>AVERAGEIF($C:$C, C135, $AE:$AE)</f>
        <v>1.2450000000000001</v>
      </c>
      <c r="AH135" s="3">
        <f t="shared" si="7"/>
        <v>1.3174999999999999</v>
      </c>
      <c r="AI135" s="3">
        <f>IF(Table1[[#This Row],[Attendance Bracket]]="&gt;75%", 1, IF(Table1[[#This Row],[Attendance Bracket]]="50-75%", 0.8, 0.6))</f>
        <v>0.6</v>
      </c>
      <c r="AJ135" s="3">
        <v>1</v>
      </c>
      <c r="AK135" s="3" t="s">
        <v>684</v>
      </c>
      <c r="AL135" s="3">
        <f>VLOOKUP(C135,Table14[[#All],[Department]:[Publication_count]], 2, FALSE)</f>
        <v>3</v>
      </c>
      <c r="AM135" s="3">
        <v>4.6666666670000003</v>
      </c>
      <c r="AN135" s="3">
        <v>1.2179487179999999</v>
      </c>
    </row>
    <row r="136" spans="1:40" x14ac:dyDescent="0.25">
      <c r="A136" t="s">
        <v>161</v>
      </c>
      <c r="B136" t="s">
        <v>461</v>
      </c>
      <c r="C136" t="s">
        <v>627</v>
      </c>
      <c r="D136" s="5" t="s">
        <v>660</v>
      </c>
      <c r="E136" s="3">
        <v>2</v>
      </c>
      <c r="F136" s="3">
        <v>4</v>
      </c>
      <c r="G136" s="3">
        <v>1</v>
      </c>
      <c r="H136" s="3">
        <v>5</v>
      </c>
      <c r="I136" s="3">
        <v>5</v>
      </c>
      <c r="J136" s="3">
        <v>4</v>
      </c>
      <c r="K136" t="s">
        <v>631</v>
      </c>
      <c r="L136" s="3">
        <f t="shared" si="6"/>
        <v>4</v>
      </c>
      <c r="M136" s="3">
        <v>3</v>
      </c>
      <c r="N136" s="3">
        <v>1</v>
      </c>
      <c r="O136" s="3">
        <v>3</v>
      </c>
      <c r="P136" s="3">
        <v>4</v>
      </c>
      <c r="Q136" s="3">
        <v>1</v>
      </c>
      <c r="R136" s="3">
        <v>2</v>
      </c>
      <c r="S136" s="3">
        <v>2</v>
      </c>
      <c r="T136" s="3">
        <v>4</v>
      </c>
      <c r="U136" s="3">
        <v>2</v>
      </c>
      <c r="V136" t="s">
        <v>636</v>
      </c>
      <c r="W136" t="s">
        <v>645</v>
      </c>
      <c r="X136" t="s">
        <v>648</v>
      </c>
      <c r="Y136" t="s">
        <v>653</v>
      </c>
      <c r="Z136" t="s">
        <v>656</v>
      </c>
      <c r="AA136" s="3">
        <v>10</v>
      </c>
      <c r="AB136">
        <v>1</v>
      </c>
      <c r="AC136" s="3">
        <v>1</v>
      </c>
      <c r="AD136" t="s">
        <v>657</v>
      </c>
      <c r="AE136" s="3">
        <f t="shared" si="8"/>
        <v>1.25</v>
      </c>
      <c r="AF136" s="3">
        <f>AVERAGE(E136:U136)</f>
        <v>2.9375</v>
      </c>
      <c r="AG136" s="3">
        <f>AVERAGEIF($C:$C, C136, $AE:$AE)</f>
        <v>1.25</v>
      </c>
      <c r="AH136" s="3">
        <f t="shared" si="7"/>
        <v>1.6875</v>
      </c>
      <c r="AI136" s="3">
        <f>IF(Table1[[#This Row],[Attendance Bracket]]="&gt;75%", 1, IF(Table1[[#This Row],[Attendance Bracket]]="50-75%", 0.8, 0.6))</f>
        <v>1</v>
      </c>
      <c r="AJ136" s="3">
        <v>3</v>
      </c>
      <c r="AK136" s="3" t="s">
        <v>634</v>
      </c>
      <c r="AL136" s="3">
        <f>VLOOKUP(C136,Table14[[#All],[Department]:[Publication_count]], 2, FALSE)</f>
        <v>5</v>
      </c>
      <c r="AM136" s="3">
        <v>6.3333333329999997</v>
      </c>
      <c r="AN136" s="3">
        <v>2.9743589739999998</v>
      </c>
    </row>
    <row r="137" spans="1:40" x14ac:dyDescent="0.25">
      <c r="A137" t="s">
        <v>162</v>
      </c>
      <c r="B137" t="s">
        <v>462</v>
      </c>
      <c r="C137" t="s">
        <v>629</v>
      </c>
      <c r="D137" s="5" t="s">
        <v>659</v>
      </c>
      <c r="E137" s="3">
        <v>4</v>
      </c>
      <c r="F137" s="3">
        <v>4</v>
      </c>
      <c r="G137" s="3">
        <v>3</v>
      </c>
      <c r="H137" s="3">
        <v>1</v>
      </c>
      <c r="I137" s="3">
        <v>5</v>
      </c>
      <c r="J137" s="3">
        <v>3</v>
      </c>
      <c r="K137" t="s">
        <v>633</v>
      </c>
      <c r="L137" s="3">
        <f t="shared" si="6"/>
        <v>2</v>
      </c>
      <c r="M137" s="3">
        <v>4</v>
      </c>
      <c r="N137" s="3">
        <v>2</v>
      </c>
      <c r="O137" s="3">
        <v>5</v>
      </c>
      <c r="P137" s="3">
        <v>4</v>
      </c>
      <c r="Q137" s="3">
        <v>5</v>
      </c>
      <c r="R137" s="3">
        <v>3</v>
      </c>
      <c r="S137" s="3">
        <v>3</v>
      </c>
      <c r="T137" s="3">
        <v>5</v>
      </c>
      <c r="U137" s="3">
        <v>5</v>
      </c>
      <c r="V137" t="s">
        <v>639</v>
      </c>
      <c r="W137" t="s">
        <v>641</v>
      </c>
      <c r="X137" t="s">
        <v>649</v>
      </c>
      <c r="Y137" t="s">
        <v>652</v>
      </c>
      <c r="Z137" t="s">
        <v>654</v>
      </c>
      <c r="AA137" s="3">
        <v>12</v>
      </c>
      <c r="AB137">
        <v>0</v>
      </c>
      <c r="AC137" s="3">
        <v>1</v>
      </c>
      <c r="AD137" t="s">
        <v>657</v>
      </c>
      <c r="AE137" s="3">
        <f t="shared" si="8"/>
        <v>1.25</v>
      </c>
      <c r="AF137" s="3">
        <f>AVERAGE(E137:U137)</f>
        <v>3.625</v>
      </c>
      <c r="AG137" s="3">
        <f>AVERAGEIF($C:$C, C137, $AE:$AE)</f>
        <v>1.2450000000000001</v>
      </c>
      <c r="AH137" s="3">
        <f t="shared" si="7"/>
        <v>2.38</v>
      </c>
      <c r="AI137" s="3">
        <f>IF(Table1[[#This Row],[Attendance Bracket]]="&gt;75%", 1, IF(Table1[[#This Row],[Attendance Bracket]]="50-75%", 0.8, 0.6))</f>
        <v>0.6</v>
      </c>
      <c r="AJ137" s="3">
        <v>2</v>
      </c>
      <c r="AK137" s="3" t="s">
        <v>684</v>
      </c>
      <c r="AL137" s="3">
        <f>VLOOKUP(C137,Table14[[#All],[Department]:[Publication_count]], 2, FALSE)</f>
        <v>3</v>
      </c>
      <c r="AM137" s="3">
        <v>4.6666666670000003</v>
      </c>
      <c r="AN137" s="3">
        <v>2.7179487180000002</v>
      </c>
    </row>
    <row r="138" spans="1:40" x14ac:dyDescent="0.25">
      <c r="A138" t="s">
        <v>163</v>
      </c>
      <c r="B138" t="s">
        <v>463</v>
      </c>
      <c r="C138" t="s">
        <v>629</v>
      </c>
      <c r="D138" s="5" t="s">
        <v>659</v>
      </c>
      <c r="E138" s="3">
        <v>5</v>
      </c>
      <c r="F138" s="3">
        <v>3</v>
      </c>
      <c r="G138" s="3">
        <v>1</v>
      </c>
      <c r="H138" s="3">
        <v>1</v>
      </c>
      <c r="I138" s="3">
        <v>2</v>
      </c>
      <c r="J138" s="3">
        <v>2</v>
      </c>
      <c r="K138" t="s">
        <v>632</v>
      </c>
      <c r="L138" s="3">
        <f t="shared" si="6"/>
        <v>1</v>
      </c>
      <c r="M138" s="3">
        <v>1</v>
      </c>
      <c r="N138" s="3">
        <v>4</v>
      </c>
      <c r="O138" s="3">
        <v>4</v>
      </c>
      <c r="P138" s="3">
        <v>4</v>
      </c>
      <c r="Q138" s="3">
        <v>3</v>
      </c>
      <c r="R138" s="3">
        <v>2</v>
      </c>
      <c r="S138" s="3">
        <v>5</v>
      </c>
      <c r="T138" s="3">
        <v>1</v>
      </c>
      <c r="U138" s="3">
        <v>5</v>
      </c>
      <c r="V138" t="s">
        <v>640</v>
      </c>
      <c r="W138" t="s">
        <v>641</v>
      </c>
      <c r="X138" t="s">
        <v>646</v>
      </c>
      <c r="Y138" t="s">
        <v>651</v>
      </c>
      <c r="Z138" t="s">
        <v>655</v>
      </c>
      <c r="AA138" s="3">
        <v>17</v>
      </c>
      <c r="AB138">
        <v>0</v>
      </c>
      <c r="AC138" s="3">
        <v>1</v>
      </c>
      <c r="AD138" t="s">
        <v>657</v>
      </c>
      <c r="AE138" s="3">
        <f t="shared" si="8"/>
        <v>1.25</v>
      </c>
      <c r="AF138" s="3">
        <f>AVERAGE(E138:U138)</f>
        <v>2.75</v>
      </c>
      <c r="AG138" s="3">
        <f>AVERAGEIF($C:$C, C138, $AE:$AE)</f>
        <v>1.2450000000000001</v>
      </c>
      <c r="AH138" s="3">
        <f t="shared" si="7"/>
        <v>1.5049999999999999</v>
      </c>
      <c r="AI138" s="3">
        <f>IF(Table1[[#This Row],[Attendance Bracket]]="&gt;75%", 1, IF(Table1[[#This Row],[Attendance Bracket]]="50-75%", 0.8, 0.6))</f>
        <v>0.8</v>
      </c>
      <c r="AJ138" s="3">
        <v>2</v>
      </c>
      <c r="AK138" s="3" t="s">
        <v>684</v>
      </c>
      <c r="AL138" s="3">
        <f>VLOOKUP(C138,Table14[[#All],[Department]:[Publication_count]], 2, FALSE)</f>
        <v>3</v>
      </c>
      <c r="AM138" s="3">
        <v>4.6666666670000003</v>
      </c>
      <c r="AN138" s="3">
        <v>2.2179487180000002</v>
      </c>
    </row>
    <row r="139" spans="1:40" x14ac:dyDescent="0.25">
      <c r="A139" t="s">
        <v>164</v>
      </c>
      <c r="B139" t="s">
        <v>464</v>
      </c>
      <c r="C139" t="s">
        <v>629</v>
      </c>
      <c r="D139" s="5" t="s">
        <v>660</v>
      </c>
      <c r="E139" s="3">
        <v>4</v>
      </c>
      <c r="F139" s="3">
        <v>5</v>
      </c>
      <c r="G139" s="3">
        <v>1</v>
      </c>
      <c r="H139" s="3">
        <v>1</v>
      </c>
      <c r="I139" s="3">
        <v>3</v>
      </c>
      <c r="J139" s="3">
        <v>2</v>
      </c>
      <c r="K139" t="s">
        <v>632</v>
      </c>
      <c r="L139" s="3">
        <f t="shared" si="6"/>
        <v>1</v>
      </c>
      <c r="M139" s="3">
        <v>3</v>
      </c>
      <c r="N139" s="3">
        <v>4</v>
      </c>
      <c r="O139" s="3">
        <v>1</v>
      </c>
      <c r="P139" s="3">
        <v>2</v>
      </c>
      <c r="Q139" s="3">
        <v>4</v>
      </c>
      <c r="R139" s="3">
        <v>4</v>
      </c>
      <c r="S139" s="3">
        <v>2</v>
      </c>
      <c r="T139" s="3">
        <v>2</v>
      </c>
      <c r="U139" s="3">
        <v>2</v>
      </c>
      <c r="V139" t="s">
        <v>638</v>
      </c>
      <c r="W139" t="s">
        <v>643</v>
      </c>
      <c r="X139" t="s">
        <v>647</v>
      </c>
      <c r="Y139" t="s">
        <v>651</v>
      </c>
      <c r="Z139" t="s">
        <v>654</v>
      </c>
      <c r="AA139" s="3">
        <v>12</v>
      </c>
      <c r="AB139">
        <v>0</v>
      </c>
      <c r="AC139" s="3">
        <v>3</v>
      </c>
      <c r="AD139" t="s">
        <v>657</v>
      </c>
      <c r="AE139" s="3">
        <f t="shared" si="8"/>
        <v>1.25</v>
      </c>
      <c r="AF139" s="3">
        <f>AVERAGE(E139:U139)</f>
        <v>2.5625</v>
      </c>
      <c r="AG139" s="3">
        <f>AVERAGEIF($C:$C, C139, $AE:$AE)</f>
        <v>1.2450000000000001</v>
      </c>
      <c r="AH139" s="3">
        <f t="shared" si="7"/>
        <v>1.3174999999999999</v>
      </c>
      <c r="AI139" s="3">
        <f>IF(Table1[[#This Row],[Attendance Bracket]]="&gt;75%", 1, IF(Table1[[#This Row],[Attendance Bracket]]="50-75%", 0.8, 0.6))</f>
        <v>0.8</v>
      </c>
      <c r="AJ139" s="3">
        <v>2</v>
      </c>
      <c r="AK139" s="3" t="s">
        <v>684</v>
      </c>
      <c r="AL139" s="3">
        <f>VLOOKUP(C139,Table14[[#All],[Department]:[Publication_count]], 2, FALSE)</f>
        <v>3</v>
      </c>
      <c r="AM139" s="3">
        <v>4.6666666670000003</v>
      </c>
      <c r="AN139" s="3">
        <v>3.2179487180000002</v>
      </c>
    </row>
    <row r="140" spans="1:40" x14ac:dyDescent="0.25">
      <c r="A140" t="s">
        <v>165</v>
      </c>
      <c r="B140" t="s">
        <v>465</v>
      </c>
      <c r="C140" t="s">
        <v>628</v>
      </c>
      <c r="D140" s="5" t="s">
        <v>659</v>
      </c>
      <c r="E140" s="3">
        <v>3</v>
      </c>
      <c r="F140" s="3">
        <v>2</v>
      </c>
      <c r="G140" s="3">
        <v>2</v>
      </c>
      <c r="H140" s="3">
        <v>2</v>
      </c>
      <c r="I140" s="3">
        <v>4</v>
      </c>
      <c r="J140" s="3">
        <v>5</v>
      </c>
      <c r="K140" t="s">
        <v>633</v>
      </c>
      <c r="L140" s="3">
        <f t="shared" si="6"/>
        <v>2</v>
      </c>
      <c r="M140" s="3">
        <v>1</v>
      </c>
      <c r="N140" s="3">
        <v>3</v>
      </c>
      <c r="O140" s="3">
        <v>3</v>
      </c>
      <c r="P140" s="3">
        <v>2</v>
      </c>
      <c r="Q140" s="3">
        <v>5</v>
      </c>
      <c r="R140" s="3">
        <v>2</v>
      </c>
      <c r="S140" s="3">
        <v>1</v>
      </c>
      <c r="T140" s="3">
        <v>1</v>
      </c>
      <c r="U140" s="3">
        <v>1</v>
      </c>
      <c r="V140" t="s">
        <v>637</v>
      </c>
      <c r="W140" t="s">
        <v>645</v>
      </c>
      <c r="X140" t="s">
        <v>650</v>
      </c>
      <c r="Y140" t="s">
        <v>653</v>
      </c>
      <c r="Z140" t="s">
        <v>655</v>
      </c>
      <c r="AA140" s="3">
        <v>13</v>
      </c>
      <c r="AB140">
        <v>0</v>
      </c>
      <c r="AC140" s="3">
        <v>1</v>
      </c>
      <c r="AD140" t="s">
        <v>657</v>
      </c>
      <c r="AE140" s="3">
        <f t="shared" si="8"/>
        <v>1.25</v>
      </c>
      <c r="AF140" s="3">
        <f>AVERAGE(E140:U140)</f>
        <v>2.4375</v>
      </c>
      <c r="AG140" s="3">
        <f>AVERAGEIF($C:$C, C140, $AE:$AE)</f>
        <v>1.25</v>
      </c>
      <c r="AH140" s="3">
        <f t="shared" si="7"/>
        <v>1.1875</v>
      </c>
      <c r="AI140" s="3">
        <f>IF(Table1[[#This Row],[Attendance Bracket]]="&gt;75%", 1, IF(Table1[[#This Row],[Attendance Bracket]]="50-75%", 0.8, 0.6))</f>
        <v>1</v>
      </c>
      <c r="AJ140" s="3">
        <v>3</v>
      </c>
      <c r="AK140" s="3" t="s">
        <v>634</v>
      </c>
      <c r="AL140" s="3">
        <f>VLOOKUP(C140,Table14[[#All],[Department]:[Publication_count]], 2, FALSE)</f>
        <v>12</v>
      </c>
      <c r="AM140" s="3">
        <v>16.25</v>
      </c>
      <c r="AN140" s="3">
        <v>3.5</v>
      </c>
    </row>
    <row r="141" spans="1:40" x14ac:dyDescent="0.25">
      <c r="A141" t="s">
        <v>166</v>
      </c>
      <c r="B141" t="s">
        <v>466</v>
      </c>
      <c r="C141" t="s">
        <v>628</v>
      </c>
      <c r="D141" s="5" t="s">
        <v>659</v>
      </c>
      <c r="E141" s="3">
        <v>5</v>
      </c>
      <c r="F141" s="3">
        <v>2</v>
      </c>
      <c r="G141" s="3">
        <v>1</v>
      </c>
      <c r="H141" s="3">
        <v>5</v>
      </c>
      <c r="I141" s="3">
        <v>2</v>
      </c>
      <c r="J141" s="3">
        <v>5</v>
      </c>
      <c r="K141" t="s">
        <v>631</v>
      </c>
      <c r="L141" s="3">
        <f t="shared" si="6"/>
        <v>4</v>
      </c>
      <c r="M141" s="3">
        <v>5</v>
      </c>
      <c r="N141" s="3">
        <v>3</v>
      </c>
      <c r="O141" s="3">
        <v>1</v>
      </c>
      <c r="P141" s="3">
        <v>4</v>
      </c>
      <c r="Q141" s="3">
        <v>3</v>
      </c>
      <c r="R141" s="3">
        <v>3</v>
      </c>
      <c r="S141" s="3">
        <v>5</v>
      </c>
      <c r="T141" s="3">
        <v>2</v>
      </c>
      <c r="U141" s="3">
        <v>1</v>
      </c>
      <c r="V141" t="s">
        <v>637</v>
      </c>
      <c r="W141" t="s">
        <v>642</v>
      </c>
      <c r="X141" t="s">
        <v>650</v>
      </c>
      <c r="Y141" t="s">
        <v>653</v>
      </c>
      <c r="Z141" t="s">
        <v>654</v>
      </c>
      <c r="AA141" s="3">
        <v>19</v>
      </c>
      <c r="AB141">
        <v>1</v>
      </c>
      <c r="AC141" s="3">
        <v>4</v>
      </c>
      <c r="AD141" t="s">
        <v>657</v>
      </c>
      <c r="AE141" s="3">
        <f t="shared" si="8"/>
        <v>1.25</v>
      </c>
      <c r="AF141" s="3">
        <f>AVERAGE(E141:U141)</f>
        <v>3.1875</v>
      </c>
      <c r="AG141" s="3">
        <f>AVERAGEIF($C:$C, C141, $AE:$AE)</f>
        <v>1.25</v>
      </c>
      <c r="AH141" s="3">
        <f t="shared" si="7"/>
        <v>1.9375</v>
      </c>
      <c r="AI141" s="3">
        <f>IF(Table1[[#This Row],[Attendance Bracket]]="&gt;75%", 1, IF(Table1[[#This Row],[Attendance Bracket]]="50-75%", 0.8, 0.6))</f>
        <v>1</v>
      </c>
      <c r="AJ141" s="3">
        <v>1</v>
      </c>
      <c r="AK141" s="3" t="s">
        <v>684</v>
      </c>
      <c r="AL141" s="3">
        <f>VLOOKUP(C141,Table14[[#All],[Department]:[Publication_count]], 2, FALSE)</f>
        <v>12</v>
      </c>
      <c r="AM141" s="3">
        <v>16.25</v>
      </c>
      <c r="AN141" s="3">
        <v>3.5</v>
      </c>
    </row>
    <row r="142" spans="1:40" x14ac:dyDescent="0.25">
      <c r="A142" t="s">
        <v>167</v>
      </c>
      <c r="B142" t="s">
        <v>467</v>
      </c>
      <c r="C142" t="s">
        <v>629</v>
      </c>
      <c r="D142" s="5" t="s">
        <v>660</v>
      </c>
      <c r="E142" s="3">
        <v>4</v>
      </c>
      <c r="F142" s="3">
        <v>1</v>
      </c>
      <c r="G142" s="3">
        <v>5</v>
      </c>
      <c r="H142" s="3">
        <v>4</v>
      </c>
      <c r="I142" s="3">
        <v>4</v>
      </c>
      <c r="J142" s="3">
        <v>3</v>
      </c>
      <c r="K142" t="s">
        <v>633</v>
      </c>
      <c r="L142" s="3">
        <f t="shared" si="6"/>
        <v>2</v>
      </c>
      <c r="M142" s="3">
        <v>5</v>
      </c>
      <c r="N142" s="3">
        <v>4</v>
      </c>
      <c r="O142" s="3">
        <v>2</v>
      </c>
      <c r="P142" s="3">
        <v>4</v>
      </c>
      <c r="Q142" s="3">
        <v>3</v>
      </c>
      <c r="R142" s="3">
        <v>4</v>
      </c>
      <c r="S142" s="3">
        <v>2</v>
      </c>
      <c r="T142" s="3">
        <v>4</v>
      </c>
      <c r="U142" s="3">
        <v>3</v>
      </c>
      <c r="V142" t="s">
        <v>636</v>
      </c>
      <c r="W142" t="s">
        <v>645</v>
      </c>
      <c r="X142" t="s">
        <v>646</v>
      </c>
      <c r="Y142" t="s">
        <v>653</v>
      </c>
      <c r="Z142" t="s">
        <v>656</v>
      </c>
      <c r="AA142" s="3">
        <v>17</v>
      </c>
      <c r="AB142">
        <v>1</v>
      </c>
      <c r="AC142" s="3">
        <v>4</v>
      </c>
      <c r="AD142" t="s">
        <v>657</v>
      </c>
      <c r="AE142" s="3">
        <f t="shared" si="8"/>
        <v>1.25</v>
      </c>
      <c r="AF142" s="3">
        <f>AVERAGE(E142:U142)</f>
        <v>3.375</v>
      </c>
      <c r="AG142" s="3">
        <f>AVERAGEIF($C:$C, C142, $AE:$AE)</f>
        <v>1.2450000000000001</v>
      </c>
      <c r="AH142" s="3">
        <f t="shared" si="7"/>
        <v>2.13</v>
      </c>
      <c r="AI142" s="3">
        <f>IF(Table1[[#This Row],[Attendance Bracket]]="&gt;75%", 1, IF(Table1[[#This Row],[Attendance Bracket]]="50-75%", 0.8, 0.6))</f>
        <v>1</v>
      </c>
      <c r="AJ142" s="3">
        <v>3</v>
      </c>
      <c r="AK142" s="3" t="s">
        <v>634</v>
      </c>
      <c r="AL142" s="3">
        <f>VLOOKUP(C142,Table14[[#All],[Department]:[Publication_count]], 2, FALSE)</f>
        <v>3</v>
      </c>
      <c r="AM142" s="3">
        <v>4.6666666670000003</v>
      </c>
      <c r="AN142" s="3">
        <v>1.2179487179999999</v>
      </c>
    </row>
    <row r="143" spans="1:40" x14ac:dyDescent="0.25">
      <c r="A143" t="s">
        <v>168</v>
      </c>
      <c r="B143" t="s">
        <v>468</v>
      </c>
      <c r="C143" t="s">
        <v>629</v>
      </c>
      <c r="D143" s="5" t="s">
        <v>660</v>
      </c>
      <c r="E143" s="3">
        <v>4</v>
      </c>
      <c r="F143" s="3">
        <v>1</v>
      </c>
      <c r="G143" s="3">
        <v>5</v>
      </c>
      <c r="H143" s="3">
        <v>3</v>
      </c>
      <c r="I143" s="3">
        <v>1</v>
      </c>
      <c r="J143" s="3">
        <v>5</v>
      </c>
      <c r="K143" t="s">
        <v>635</v>
      </c>
      <c r="L143" s="3">
        <f t="shared" si="6"/>
        <v>5</v>
      </c>
      <c r="M143" s="3">
        <v>4</v>
      </c>
      <c r="N143" s="3">
        <v>3</v>
      </c>
      <c r="O143" s="3">
        <v>2</v>
      </c>
      <c r="P143" s="3">
        <v>3</v>
      </c>
      <c r="Q143" s="3">
        <v>5</v>
      </c>
      <c r="R143" s="3">
        <v>5</v>
      </c>
      <c r="S143" s="3">
        <v>1</v>
      </c>
      <c r="T143" s="3">
        <v>4</v>
      </c>
      <c r="U143" s="3">
        <v>1</v>
      </c>
      <c r="V143" t="s">
        <v>636</v>
      </c>
      <c r="W143" t="s">
        <v>642</v>
      </c>
      <c r="X143" t="s">
        <v>647</v>
      </c>
      <c r="Y143" t="s">
        <v>653</v>
      </c>
      <c r="Z143" t="s">
        <v>655</v>
      </c>
      <c r="AA143" s="3">
        <v>8</v>
      </c>
      <c r="AB143">
        <v>1</v>
      </c>
      <c r="AC143" s="3">
        <v>2</v>
      </c>
      <c r="AD143" t="s">
        <v>657</v>
      </c>
      <c r="AE143" s="3">
        <f t="shared" si="8"/>
        <v>1.25</v>
      </c>
      <c r="AF143" s="3">
        <f>AVERAGE(E143:U143)</f>
        <v>3.25</v>
      </c>
      <c r="AG143" s="3">
        <f>AVERAGEIF($C:$C, C143, $AE:$AE)</f>
        <v>1.2450000000000001</v>
      </c>
      <c r="AH143" s="3">
        <f t="shared" si="7"/>
        <v>2.0049999999999999</v>
      </c>
      <c r="AI143" s="3">
        <f>IF(Table1[[#This Row],[Attendance Bracket]]="&gt;75%", 1, IF(Table1[[#This Row],[Attendance Bracket]]="50-75%", 0.8, 0.6))</f>
        <v>1</v>
      </c>
      <c r="AJ143" s="3">
        <v>1</v>
      </c>
      <c r="AK143" s="3" t="s">
        <v>684</v>
      </c>
      <c r="AL143" s="3">
        <f>VLOOKUP(C143,Table14[[#All],[Department]:[Publication_count]], 2, FALSE)</f>
        <v>3</v>
      </c>
      <c r="AM143" s="3">
        <v>4.6666666670000003</v>
      </c>
      <c r="AN143" s="3">
        <v>1.2179487179999999</v>
      </c>
    </row>
    <row r="144" spans="1:40" x14ac:dyDescent="0.25">
      <c r="A144" t="s">
        <v>169</v>
      </c>
      <c r="B144" t="s">
        <v>469</v>
      </c>
      <c r="C144" t="s">
        <v>628</v>
      </c>
      <c r="D144" s="5" t="s">
        <v>630</v>
      </c>
      <c r="E144" s="3">
        <v>4</v>
      </c>
      <c r="F144" s="3">
        <v>4</v>
      </c>
      <c r="G144" s="3">
        <v>4</v>
      </c>
      <c r="H144" s="3">
        <v>4</v>
      </c>
      <c r="I144" s="3">
        <v>4</v>
      </c>
      <c r="J144" s="3">
        <v>5</v>
      </c>
      <c r="K144" t="s">
        <v>635</v>
      </c>
      <c r="L144" s="3">
        <f t="shared" si="6"/>
        <v>5</v>
      </c>
      <c r="M144" s="3">
        <v>4</v>
      </c>
      <c r="N144" s="3">
        <v>5</v>
      </c>
      <c r="O144" s="3">
        <v>4</v>
      </c>
      <c r="P144" s="3">
        <v>1</v>
      </c>
      <c r="Q144" s="3">
        <v>5</v>
      </c>
      <c r="R144" s="3">
        <v>5</v>
      </c>
      <c r="S144" s="3">
        <v>5</v>
      </c>
      <c r="T144" s="3">
        <v>4</v>
      </c>
      <c r="U144" s="3">
        <v>4</v>
      </c>
      <c r="V144" t="s">
        <v>636</v>
      </c>
      <c r="W144" t="s">
        <v>645</v>
      </c>
      <c r="X144" t="s">
        <v>649</v>
      </c>
      <c r="Y144" t="s">
        <v>653</v>
      </c>
      <c r="Z144" t="s">
        <v>655</v>
      </c>
      <c r="AA144" s="3">
        <v>9</v>
      </c>
      <c r="AB144">
        <v>0</v>
      </c>
      <c r="AC144" s="3">
        <v>3</v>
      </c>
      <c r="AD144" t="s">
        <v>657</v>
      </c>
      <c r="AE144" s="3">
        <f>IF(AE146, 1.25, 1)</f>
        <v>1.25</v>
      </c>
      <c r="AF144" s="3">
        <f>AVERAGE(E144:U144)</f>
        <v>4.1875</v>
      </c>
      <c r="AG144" s="3">
        <f>AVERAGEIF($C:$C, C144, $AE:$AE)</f>
        <v>1.25</v>
      </c>
      <c r="AH144" s="3">
        <f t="shared" si="7"/>
        <v>2.9375</v>
      </c>
      <c r="AI144" s="3">
        <f>IF(Table1[[#This Row],[Attendance Bracket]]="&gt;75%", 1, IF(Table1[[#This Row],[Attendance Bracket]]="50-75%", 0.8, 0.6))</f>
        <v>1</v>
      </c>
      <c r="AJ144" s="3">
        <v>3</v>
      </c>
      <c r="AK144" s="3" t="s">
        <v>634</v>
      </c>
      <c r="AL144" s="3">
        <f>VLOOKUP(C144,Table14[[#All],[Department]:[Publication_count]], 2, FALSE)</f>
        <v>12</v>
      </c>
      <c r="AM144" s="3">
        <v>16.25</v>
      </c>
      <c r="AN144" s="3">
        <v>4.5</v>
      </c>
    </row>
    <row r="145" spans="1:40" x14ac:dyDescent="0.25">
      <c r="A145" t="s">
        <v>170</v>
      </c>
      <c r="B145" t="s">
        <v>470</v>
      </c>
      <c r="C145" t="s">
        <v>627</v>
      </c>
      <c r="D145" s="5" t="s">
        <v>660</v>
      </c>
      <c r="E145" s="3">
        <v>5</v>
      </c>
      <c r="F145" s="3">
        <v>1</v>
      </c>
      <c r="G145" s="3">
        <v>1</v>
      </c>
      <c r="H145" s="3">
        <v>5</v>
      </c>
      <c r="I145" s="3">
        <v>4</v>
      </c>
      <c r="J145" s="3">
        <v>5</v>
      </c>
      <c r="K145" t="s">
        <v>634</v>
      </c>
      <c r="L145" s="3">
        <f t="shared" si="6"/>
        <v>3</v>
      </c>
      <c r="M145" s="3">
        <v>1</v>
      </c>
      <c r="N145" s="3">
        <v>2</v>
      </c>
      <c r="O145" s="3">
        <v>1</v>
      </c>
      <c r="P145" s="3">
        <v>1</v>
      </c>
      <c r="Q145" s="3">
        <v>4</v>
      </c>
      <c r="R145" s="3">
        <v>3</v>
      </c>
      <c r="S145" s="3">
        <v>3</v>
      </c>
      <c r="T145" s="3">
        <v>4</v>
      </c>
      <c r="U145" s="3">
        <v>1</v>
      </c>
      <c r="V145" t="s">
        <v>640</v>
      </c>
      <c r="W145" t="s">
        <v>643</v>
      </c>
      <c r="X145" t="s">
        <v>648</v>
      </c>
      <c r="Y145" t="s">
        <v>652</v>
      </c>
      <c r="Z145" t="s">
        <v>655</v>
      </c>
      <c r="AA145" s="3">
        <v>7</v>
      </c>
      <c r="AB145">
        <v>1</v>
      </c>
      <c r="AC145" s="3">
        <v>5</v>
      </c>
      <c r="AD145" t="s">
        <v>657</v>
      </c>
      <c r="AE145" s="3">
        <f>IF(AE147, 1.25, 1)</f>
        <v>1.25</v>
      </c>
      <c r="AF145" s="3">
        <f>AVERAGE(E145:U145)</f>
        <v>2.75</v>
      </c>
      <c r="AG145" s="3">
        <f>AVERAGEIF($C:$C, C145, $AE:$AE)</f>
        <v>1.25</v>
      </c>
      <c r="AH145" s="3">
        <f t="shared" si="7"/>
        <v>1.5</v>
      </c>
      <c r="AI145" s="3">
        <f>IF(Table1[[#This Row],[Attendance Bracket]]="&gt;75%", 1, IF(Table1[[#This Row],[Attendance Bracket]]="50-75%", 0.8, 0.6))</f>
        <v>0.6</v>
      </c>
      <c r="AJ145" s="3">
        <v>2</v>
      </c>
      <c r="AK145" s="3" t="s">
        <v>684</v>
      </c>
      <c r="AL145" s="3">
        <f>VLOOKUP(C145,Table14[[#All],[Department]:[Publication_count]], 2, FALSE)</f>
        <v>5</v>
      </c>
      <c r="AM145" s="3">
        <v>6.3333333329999997</v>
      </c>
      <c r="AN145" s="3">
        <v>1.474358974</v>
      </c>
    </row>
    <row r="146" spans="1:40" x14ac:dyDescent="0.25">
      <c r="A146" t="s">
        <v>171</v>
      </c>
      <c r="B146" t="s">
        <v>471</v>
      </c>
      <c r="C146" t="s">
        <v>627</v>
      </c>
      <c r="D146" s="5" t="s">
        <v>660</v>
      </c>
      <c r="E146" s="3">
        <v>4</v>
      </c>
      <c r="F146" s="3">
        <v>3</v>
      </c>
      <c r="G146" s="3">
        <v>4</v>
      </c>
      <c r="H146" s="3">
        <v>3</v>
      </c>
      <c r="I146" s="3">
        <v>4</v>
      </c>
      <c r="J146" s="3">
        <v>3</v>
      </c>
      <c r="K146" t="s">
        <v>631</v>
      </c>
      <c r="L146" s="3">
        <f t="shared" si="6"/>
        <v>4</v>
      </c>
      <c r="M146" s="3">
        <v>2</v>
      </c>
      <c r="N146" s="3">
        <v>1</v>
      </c>
      <c r="O146" s="3">
        <v>5</v>
      </c>
      <c r="P146" s="3">
        <v>4</v>
      </c>
      <c r="Q146" s="3">
        <v>1</v>
      </c>
      <c r="R146" s="3">
        <v>2</v>
      </c>
      <c r="S146" s="3">
        <v>5</v>
      </c>
      <c r="T146" s="3">
        <v>5</v>
      </c>
      <c r="U146" s="3">
        <v>1</v>
      </c>
      <c r="V146" t="s">
        <v>640</v>
      </c>
      <c r="W146" t="s">
        <v>645</v>
      </c>
      <c r="X146" t="s">
        <v>649</v>
      </c>
      <c r="Y146" t="s">
        <v>651</v>
      </c>
      <c r="Z146" t="s">
        <v>654</v>
      </c>
      <c r="AA146" s="4">
        <v>5</v>
      </c>
      <c r="AB146">
        <v>1</v>
      </c>
      <c r="AC146" s="3">
        <v>4</v>
      </c>
      <c r="AD146" t="s">
        <v>657</v>
      </c>
      <c r="AE146" s="3">
        <f t="shared" si="8"/>
        <v>1.25</v>
      </c>
      <c r="AF146" s="3">
        <f>AVERAGE(E146:U146)</f>
        <v>3.1875</v>
      </c>
      <c r="AG146" s="3">
        <f>AVERAGEIF($C:$C, C146, $AE:$AE)</f>
        <v>1.25</v>
      </c>
      <c r="AH146" s="3">
        <f t="shared" si="7"/>
        <v>1.9375</v>
      </c>
      <c r="AI146" s="3">
        <f>IF(Table1[[#This Row],[Attendance Bracket]]="&gt;75%", 1, IF(Table1[[#This Row],[Attendance Bracket]]="50-75%", 0.8, 0.6))</f>
        <v>0.8</v>
      </c>
      <c r="AJ146" s="3">
        <v>3</v>
      </c>
      <c r="AK146" s="3" t="s">
        <v>634</v>
      </c>
      <c r="AL146" s="3">
        <f>VLOOKUP(C146,Table14[[#All],[Department]:[Publication_count]], 2, FALSE)</f>
        <v>5</v>
      </c>
      <c r="AM146" s="3">
        <v>6.3333333329999997</v>
      </c>
      <c r="AN146" s="3">
        <v>2.4743589739999998</v>
      </c>
    </row>
    <row r="147" spans="1:40" x14ac:dyDescent="0.25">
      <c r="A147" t="s">
        <v>172</v>
      </c>
      <c r="B147" t="s">
        <v>472</v>
      </c>
      <c r="C147" t="s">
        <v>627</v>
      </c>
      <c r="D147" s="5" t="s">
        <v>630</v>
      </c>
      <c r="E147" s="3">
        <v>3</v>
      </c>
      <c r="F147" s="3">
        <v>3</v>
      </c>
      <c r="G147" s="3">
        <v>1</v>
      </c>
      <c r="H147" s="3">
        <v>5</v>
      </c>
      <c r="I147" s="3">
        <v>2</v>
      </c>
      <c r="J147" s="3">
        <v>1</v>
      </c>
      <c r="K147" t="s">
        <v>632</v>
      </c>
      <c r="L147" s="3">
        <f t="shared" si="6"/>
        <v>1</v>
      </c>
      <c r="M147" s="3">
        <v>2</v>
      </c>
      <c r="N147" s="3">
        <v>5</v>
      </c>
      <c r="O147" s="3">
        <v>3</v>
      </c>
      <c r="P147" s="3">
        <v>4</v>
      </c>
      <c r="Q147" s="3">
        <v>3</v>
      </c>
      <c r="R147" s="3">
        <v>5</v>
      </c>
      <c r="S147" s="3">
        <v>2</v>
      </c>
      <c r="T147" s="3">
        <v>1</v>
      </c>
      <c r="U147" s="3">
        <v>2</v>
      </c>
      <c r="V147" t="s">
        <v>636</v>
      </c>
      <c r="W147" t="s">
        <v>641</v>
      </c>
      <c r="X147" t="s">
        <v>649</v>
      </c>
      <c r="Y147" t="s">
        <v>651</v>
      </c>
      <c r="Z147" t="s">
        <v>655</v>
      </c>
      <c r="AA147" s="3">
        <v>13</v>
      </c>
      <c r="AB147">
        <v>0</v>
      </c>
      <c r="AC147" s="3">
        <v>4</v>
      </c>
      <c r="AD147" t="s">
        <v>657</v>
      </c>
      <c r="AE147" s="3">
        <f t="shared" si="8"/>
        <v>1.25</v>
      </c>
      <c r="AF147" s="3">
        <f>AVERAGE(E147:U147)</f>
        <v>2.6875</v>
      </c>
      <c r="AG147" s="3">
        <f>AVERAGEIF($C:$C, C147, $AE:$AE)</f>
        <v>1.25</v>
      </c>
      <c r="AH147" s="3">
        <f t="shared" si="7"/>
        <v>1.4375</v>
      </c>
      <c r="AI147" s="3">
        <f>IF(Table1[[#This Row],[Attendance Bracket]]="&gt;75%", 1, IF(Table1[[#This Row],[Attendance Bracket]]="50-75%", 0.8, 0.6))</f>
        <v>0.8</v>
      </c>
      <c r="AJ147" s="3">
        <v>2</v>
      </c>
      <c r="AK147" s="3" t="s">
        <v>684</v>
      </c>
      <c r="AL147" s="3">
        <f>VLOOKUP(C147,Table14[[#All],[Department]:[Publication_count]], 2, FALSE)</f>
        <v>5</v>
      </c>
      <c r="AM147" s="3">
        <v>6.3333333329999997</v>
      </c>
      <c r="AN147" s="3">
        <v>2.4743589739999998</v>
      </c>
    </row>
    <row r="148" spans="1:40" x14ac:dyDescent="0.25">
      <c r="A148" t="s">
        <v>173</v>
      </c>
      <c r="B148" t="s">
        <v>473</v>
      </c>
      <c r="C148" t="s">
        <v>627</v>
      </c>
      <c r="D148" s="5" t="s">
        <v>630</v>
      </c>
      <c r="E148" s="3">
        <v>4</v>
      </c>
      <c r="F148" s="3">
        <v>3</v>
      </c>
      <c r="G148" s="3">
        <v>3</v>
      </c>
      <c r="H148" s="3">
        <v>2</v>
      </c>
      <c r="I148" s="3">
        <v>4</v>
      </c>
      <c r="J148" s="3">
        <v>2</v>
      </c>
      <c r="K148" t="s">
        <v>635</v>
      </c>
      <c r="L148" s="3">
        <f t="shared" si="6"/>
        <v>5</v>
      </c>
      <c r="M148" s="3">
        <v>2</v>
      </c>
      <c r="N148" s="3">
        <v>5</v>
      </c>
      <c r="O148" s="3">
        <v>5</v>
      </c>
      <c r="P148" s="3">
        <v>2</v>
      </c>
      <c r="Q148" s="3">
        <v>5</v>
      </c>
      <c r="R148" s="3">
        <v>3</v>
      </c>
      <c r="S148" s="3">
        <v>3</v>
      </c>
      <c r="T148" s="3">
        <v>2</v>
      </c>
      <c r="U148" s="3">
        <v>1</v>
      </c>
      <c r="V148" t="s">
        <v>637</v>
      </c>
      <c r="W148" t="s">
        <v>643</v>
      </c>
      <c r="X148" t="s">
        <v>650</v>
      </c>
      <c r="Y148" t="s">
        <v>653</v>
      </c>
      <c r="Z148" t="s">
        <v>656</v>
      </c>
      <c r="AA148" s="3">
        <v>18</v>
      </c>
      <c r="AB148">
        <v>1</v>
      </c>
      <c r="AC148" s="3">
        <v>1</v>
      </c>
      <c r="AD148" t="s">
        <v>657</v>
      </c>
      <c r="AE148" s="3">
        <f t="shared" si="8"/>
        <v>1.25</v>
      </c>
      <c r="AF148" s="3">
        <f>AVERAGE(E148:U148)</f>
        <v>3.1875</v>
      </c>
      <c r="AG148" s="3">
        <f>AVERAGEIF($C:$C, C148, $AE:$AE)</f>
        <v>1.25</v>
      </c>
      <c r="AH148" s="3">
        <f t="shared" si="7"/>
        <v>1.9375</v>
      </c>
      <c r="AI148" s="3">
        <f>IF(Table1[[#This Row],[Attendance Bracket]]="&gt;75%", 1, IF(Table1[[#This Row],[Attendance Bracket]]="50-75%", 0.8, 0.6))</f>
        <v>1</v>
      </c>
      <c r="AJ148" s="3">
        <v>2</v>
      </c>
      <c r="AK148" s="3" t="s">
        <v>684</v>
      </c>
      <c r="AL148" s="3">
        <f>VLOOKUP(C148,Table14[[#All],[Department]:[Publication_count]], 2, FALSE)</f>
        <v>5</v>
      </c>
      <c r="AM148" s="3">
        <v>6.3333333329999997</v>
      </c>
      <c r="AN148" s="3">
        <v>2.4743589739999998</v>
      </c>
    </row>
    <row r="149" spans="1:40" x14ac:dyDescent="0.25">
      <c r="A149" t="s">
        <v>174</v>
      </c>
      <c r="B149" t="s">
        <v>474</v>
      </c>
      <c r="C149" t="s">
        <v>629</v>
      </c>
      <c r="D149" s="5" t="s">
        <v>660</v>
      </c>
      <c r="E149" s="3">
        <v>1</v>
      </c>
      <c r="F149" s="3">
        <v>5</v>
      </c>
      <c r="G149" s="3">
        <v>3</v>
      </c>
      <c r="H149" s="3">
        <v>2</v>
      </c>
      <c r="I149" s="3">
        <v>4</v>
      </c>
      <c r="J149" s="3">
        <v>4</v>
      </c>
      <c r="K149" t="s">
        <v>634</v>
      </c>
      <c r="L149" s="3">
        <f t="shared" si="6"/>
        <v>3</v>
      </c>
      <c r="M149" s="3">
        <v>3</v>
      </c>
      <c r="N149" s="3">
        <v>5</v>
      </c>
      <c r="O149" s="3">
        <v>4</v>
      </c>
      <c r="P149" s="3">
        <v>2</v>
      </c>
      <c r="Q149" s="3">
        <v>5</v>
      </c>
      <c r="R149" s="3">
        <v>2</v>
      </c>
      <c r="S149" s="3">
        <v>5</v>
      </c>
      <c r="T149" s="3">
        <v>1</v>
      </c>
      <c r="U149" s="3">
        <v>1</v>
      </c>
      <c r="V149" t="s">
        <v>638</v>
      </c>
      <c r="W149" t="s">
        <v>644</v>
      </c>
      <c r="X149" t="s">
        <v>648</v>
      </c>
      <c r="Y149" t="s">
        <v>651</v>
      </c>
      <c r="Z149" t="s">
        <v>655</v>
      </c>
      <c r="AA149" s="3">
        <v>6</v>
      </c>
      <c r="AB149">
        <v>0</v>
      </c>
      <c r="AC149" s="3">
        <v>3</v>
      </c>
      <c r="AD149" t="s">
        <v>657</v>
      </c>
      <c r="AE149" s="3">
        <f t="shared" si="8"/>
        <v>1.25</v>
      </c>
      <c r="AF149" s="3">
        <f>AVERAGE(E149:U149)</f>
        <v>3.125</v>
      </c>
      <c r="AG149" s="3">
        <f>AVERAGEIF($C:$C, C149, $AE:$AE)</f>
        <v>1.2450000000000001</v>
      </c>
      <c r="AH149" s="3">
        <f t="shared" si="7"/>
        <v>1.88</v>
      </c>
      <c r="AI149" s="3">
        <f>IF(Table1[[#This Row],[Attendance Bracket]]="&gt;75%", 1, IF(Table1[[#This Row],[Attendance Bracket]]="50-75%", 0.8, 0.6))</f>
        <v>0.8</v>
      </c>
      <c r="AJ149" s="3">
        <v>2</v>
      </c>
      <c r="AK149" s="3" t="s">
        <v>684</v>
      </c>
      <c r="AL149" s="3">
        <f>VLOOKUP(C149,Table14[[#All],[Department]:[Publication_count]], 2, FALSE)</f>
        <v>3</v>
      </c>
      <c r="AM149" s="3">
        <v>4.6666666670000003</v>
      </c>
      <c r="AN149" s="3">
        <v>3.2179487180000002</v>
      </c>
    </row>
    <row r="150" spans="1:40" x14ac:dyDescent="0.25">
      <c r="A150" t="s">
        <v>175</v>
      </c>
      <c r="B150" t="s">
        <v>475</v>
      </c>
      <c r="C150" t="s">
        <v>629</v>
      </c>
      <c r="D150" s="5" t="s">
        <v>660</v>
      </c>
      <c r="E150" s="3">
        <v>4</v>
      </c>
      <c r="F150" s="3">
        <v>5</v>
      </c>
      <c r="G150" s="3">
        <v>3</v>
      </c>
      <c r="H150" s="3">
        <v>5</v>
      </c>
      <c r="I150" s="3">
        <v>1</v>
      </c>
      <c r="J150" s="3">
        <v>2</v>
      </c>
      <c r="K150" t="s">
        <v>633</v>
      </c>
      <c r="L150" s="3">
        <f t="shared" si="6"/>
        <v>2</v>
      </c>
      <c r="M150" s="3">
        <v>3</v>
      </c>
      <c r="N150" s="3">
        <v>3</v>
      </c>
      <c r="O150" s="3">
        <v>4</v>
      </c>
      <c r="P150" s="3">
        <v>1</v>
      </c>
      <c r="Q150" s="3">
        <v>2</v>
      </c>
      <c r="R150" s="3">
        <v>4</v>
      </c>
      <c r="S150" s="3">
        <v>3</v>
      </c>
      <c r="T150" s="3">
        <v>2</v>
      </c>
      <c r="U150" s="3">
        <v>2</v>
      </c>
      <c r="V150" t="s">
        <v>637</v>
      </c>
      <c r="W150" t="s">
        <v>642</v>
      </c>
      <c r="X150" t="s">
        <v>647</v>
      </c>
      <c r="Y150" t="s">
        <v>652</v>
      </c>
      <c r="Z150" t="s">
        <v>654</v>
      </c>
      <c r="AA150" s="3">
        <v>13</v>
      </c>
      <c r="AB150">
        <v>0</v>
      </c>
      <c r="AC150" s="3">
        <v>4</v>
      </c>
      <c r="AD150" t="s">
        <v>657</v>
      </c>
      <c r="AE150" s="3">
        <f t="shared" si="8"/>
        <v>1.25</v>
      </c>
      <c r="AF150" s="3">
        <f>AVERAGE(E150:U150)</f>
        <v>2.875</v>
      </c>
      <c r="AG150" s="3">
        <f>AVERAGEIF($C:$C, C150, $AE:$AE)</f>
        <v>1.2450000000000001</v>
      </c>
      <c r="AH150" s="3">
        <f t="shared" si="7"/>
        <v>1.63</v>
      </c>
      <c r="AI150" s="3">
        <f>IF(Table1[[#This Row],[Attendance Bracket]]="&gt;75%", 1, IF(Table1[[#This Row],[Attendance Bracket]]="50-75%", 0.8, 0.6))</f>
        <v>0.6</v>
      </c>
      <c r="AJ150" s="3">
        <v>1</v>
      </c>
      <c r="AK150" s="3" t="s">
        <v>684</v>
      </c>
      <c r="AL150" s="3">
        <f>VLOOKUP(C150,Table14[[#All],[Department]:[Publication_count]], 2, FALSE)</f>
        <v>3</v>
      </c>
      <c r="AM150" s="3">
        <v>4.6666666670000003</v>
      </c>
      <c r="AN150" s="3">
        <v>3.2179487180000002</v>
      </c>
    </row>
    <row r="151" spans="1:40" x14ac:dyDescent="0.25">
      <c r="A151" t="s">
        <v>176</v>
      </c>
      <c r="B151" t="s">
        <v>476</v>
      </c>
      <c r="C151" t="s">
        <v>627</v>
      </c>
      <c r="D151" s="5" t="s">
        <v>659</v>
      </c>
      <c r="E151" s="3">
        <v>3</v>
      </c>
      <c r="F151" s="3">
        <v>1</v>
      </c>
      <c r="G151" s="3">
        <v>2</v>
      </c>
      <c r="H151" s="3">
        <v>4</v>
      </c>
      <c r="I151" s="3">
        <v>5</v>
      </c>
      <c r="J151" s="3">
        <v>2</v>
      </c>
      <c r="K151" t="s">
        <v>634</v>
      </c>
      <c r="L151" s="3">
        <f t="shared" si="6"/>
        <v>3</v>
      </c>
      <c r="M151" s="3">
        <v>1</v>
      </c>
      <c r="N151" s="3">
        <v>2</v>
      </c>
      <c r="O151" s="3">
        <v>2</v>
      </c>
      <c r="P151" s="3">
        <v>3</v>
      </c>
      <c r="Q151" s="3">
        <v>4</v>
      </c>
      <c r="R151" s="3">
        <v>1</v>
      </c>
      <c r="S151" s="3">
        <v>1</v>
      </c>
      <c r="T151" s="3">
        <v>3</v>
      </c>
      <c r="U151" s="3">
        <v>3</v>
      </c>
      <c r="V151" t="s">
        <v>639</v>
      </c>
      <c r="W151" t="s">
        <v>645</v>
      </c>
      <c r="X151" t="s">
        <v>649</v>
      </c>
      <c r="Y151" t="s">
        <v>653</v>
      </c>
      <c r="Z151" t="s">
        <v>654</v>
      </c>
      <c r="AA151" s="3">
        <v>7</v>
      </c>
      <c r="AB151">
        <v>0</v>
      </c>
      <c r="AC151" s="3">
        <v>3</v>
      </c>
      <c r="AD151" t="s">
        <v>657</v>
      </c>
      <c r="AE151" s="3">
        <f t="shared" si="8"/>
        <v>1.25</v>
      </c>
      <c r="AF151" s="3">
        <f>AVERAGE(E151:U151)</f>
        <v>2.5</v>
      </c>
      <c r="AG151" s="3">
        <f>AVERAGEIF($C:$C, C151, $AE:$AE)</f>
        <v>1.25</v>
      </c>
      <c r="AH151" s="3">
        <f t="shared" si="7"/>
        <v>1.25</v>
      </c>
      <c r="AI151" s="3">
        <f>IF(Table1[[#This Row],[Attendance Bracket]]="&gt;75%", 1, IF(Table1[[#This Row],[Attendance Bracket]]="50-75%", 0.8, 0.6))</f>
        <v>1</v>
      </c>
      <c r="AJ151" s="3">
        <v>3</v>
      </c>
      <c r="AK151" s="3" t="s">
        <v>634</v>
      </c>
      <c r="AL151" s="3">
        <f>VLOOKUP(C151,Table14[[#All],[Department]:[Publication_count]], 2, FALSE)</f>
        <v>5</v>
      </c>
      <c r="AM151" s="3">
        <v>6.3333333329999997</v>
      </c>
      <c r="AN151" s="3">
        <v>1.474358974</v>
      </c>
    </row>
    <row r="152" spans="1:40" x14ac:dyDescent="0.25">
      <c r="A152" t="s">
        <v>177</v>
      </c>
      <c r="B152" t="s">
        <v>477</v>
      </c>
      <c r="C152" t="s">
        <v>628</v>
      </c>
      <c r="D152" s="5" t="s">
        <v>660</v>
      </c>
      <c r="E152" s="3">
        <v>4</v>
      </c>
      <c r="F152" s="3">
        <v>2</v>
      </c>
      <c r="G152" s="3">
        <v>2</v>
      </c>
      <c r="H152" s="3">
        <v>4</v>
      </c>
      <c r="I152" s="3">
        <v>3</v>
      </c>
      <c r="J152" s="3">
        <v>2</v>
      </c>
      <c r="K152" t="s">
        <v>634</v>
      </c>
      <c r="L152" s="3">
        <f t="shared" si="6"/>
        <v>3</v>
      </c>
      <c r="M152" s="3">
        <v>5</v>
      </c>
      <c r="N152" s="3">
        <v>1</v>
      </c>
      <c r="O152" s="3">
        <v>1</v>
      </c>
      <c r="P152" s="3">
        <v>5</v>
      </c>
      <c r="Q152" s="3">
        <v>4</v>
      </c>
      <c r="R152" s="3">
        <v>5</v>
      </c>
      <c r="S152" s="3">
        <v>1</v>
      </c>
      <c r="T152" s="3">
        <v>3</v>
      </c>
      <c r="U152" s="3">
        <v>3</v>
      </c>
      <c r="V152" t="s">
        <v>637</v>
      </c>
      <c r="W152" t="s">
        <v>641</v>
      </c>
      <c r="X152" t="s">
        <v>650</v>
      </c>
      <c r="Y152" t="s">
        <v>652</v>
      </c>
      <c r="Z152" t="s">
        <v>654</v>
      </c>
      <c r="AA152" s="3">
        <v>19</v>
      </c>
      <c r="AB152">
        <v>0</v>
      </c>
      <c r="AC152" s="3">
        <v>3</v>
      </c>
      <c r="AD152" t="s">
        <v>657</v>
      </c>
      <c r="AE152" s="3">
        <f>IF(AE154, 1.25, 1)</f>
        <v>1.25</v>
      </c>
      <c r="AF152" s="3">
        <f>AVERAGE(E152:U152)</f>
        <v>3</v>
      </c>
      <c r="AG152" s="3">
        <f>AVERAGEIF($C:$C, C152, $AE:$AE)</f>
        <v>1.25</v>
      </c>
      <c r="AH152" s="3">
        <f t="shared" si="7"/>
        <v>1.75</v>
      </c>
      <c r="AI152" s="3">
        <f>IF(Table1[[#This Row],[Attendance Bracket]]="&gt;75%", 1, IF(Table1[[#This Row],[Attendance Bracket]]="50-75%", 0.8, 0.6))</f>
        <v>0.6</v>
      </c>
      <c r="AJ152" s="3">
        <v>2</v>
      </c>
      <c r="AK152" s="3" t="s">
        <v>684</v>
      </c>
      <c r="AL152" s="3">
        <f>VLOOKUP(C152,Table14[[#All],[Department]:[Publication_count]], 2, FALSE)</f>
        <v>12</v>
      </c>
      <c r="AM152" s="3">
        <v>16.25</v>
      </c>
      <c r="AN152" s="3">
        <v>3.5</v>
      </c>
    </row>
    <row r="153" spans="1:40" x14ac:dyDescent="0.25">
      <c r="A153" t="s">
        <v>178</v>
      </c>
      <c r="B153" t="s">
        <v>478</v>
      </c>
      <c r="C153" t="s">
        <v>627</v>
      </c>
      <c r="D153" s="5" t="s">
        <v>660</v>
      </c>
      <c r="E153" s="3">
        <v>3</v>
      </c>
      <c r="F153" s="3">
        <v>2</v>
      </c>
      <c r="G153" s="3">
        <v>1</v>
      </c>
      <c r="H153" s="3">
        <v>1</v>
      </c>
      <c r="I153" s="3">
        <v>4</v>
      </c>
      <c r="J153" s="3">
        <v>5</v>
      </c>
      <c r="K153" t="s">
        <v>635</v>
      </c>
      <c r="L153" s="3">
        <f t="shared" si="6"/>
        <v>5</v>
      </c>
      <c r="M153" s="3">
        <v>1</v>
      </c>
      <c r="N153" s="3">
        <v>5</v>
      </c>
      <c r="O153" s="3">
        <v>1</v>
      </c>
      <c r="P153" s="3">
        <v>5</v>
      </c>
      <c r="Q153" s="3">
        <v>2</v>
      </c>
      <c r="R153" s="3">
        <v>2</v>
      </c>
      <c r="S153" s="3">
        <v>4</v>
      </c>
      <c r="T153" s="3">
        <v>3</v>
      </c>
      <c r="U153" s="3">
        <v>1</v>
      </c>
      <c r="V153" t="s">
        <v>640</v>
      </c>
      <c r="W153" t="s">
        <v>643</v>
      </c>
      <c r="X153" t="s">
        <v>650</v>
      </c>
      <c r="Y153" t="s">
        <v>651</v>
      </c>
      <c r="Z153" t="s">
        <v>654</v>
      </c>
      <c r="AA153" s="3">
        <v>12</v>
      </c>
      <c r="AB153">
        <v>0</v>
      </c>
      <c r="AC153" s="3">
        <v>5</v>
      </c>
      <c r="AD153" t="s">
        <v>657</v>
      </c>
      <c r="AE153" s="3">
        <f>IF(AE155, 1.25, 1)</f>
        <v>1.25</v>
      </c>
      <c r="AF153" s="3">
        <f>AVERAGE(E153:U153)</f>
        <v>2.8125</v>
      </c>
      <c r="AG153" s="3">
        <f>AVERAGEIF($C:$C, C153, $AE:$AE)</f>
        <v>1.25</v>
      </c>
      <c r="AH153" s="3">
        <f t="shared" si="7"/>
        <v>1.5625</v>
      </c>
      <c r="AI153" s="3">
        <f>IF(Table1[[#This Row],[Attendance Bracket]]="&gt;75%", 1, IF(Table1[[#This Row],[Attendance Bracket]]="50-75%", 0.8, 0.6))</f>
        <v>0.8</v>
      </c>
      <c r="AJ153" s="3">
        <v>2</v>
      </c>
      <c r="AK153" s="3" t="s">
        <v>684</v>
      </c>
      <c r="AL153" s="3">
        <f>VLOOKUP(C153,Table14[[#All],[Department]:[Publication_count]], 2, FALSE)</f>
        <v>5</v>
      </c>
      <c r="AM153" s="3">
        <v>6.3333333329999997</v>
      </c>
      <c r="AN153" s="3">
        <v>1.974358974</v>
      </c>
    </row>
    <row r="154" spans="1:40" x14ac:dyDescent="0.25">
      <c r="A154" t="s">
        <v>179</v>
      </c>
      <c r="B154" t="s">
        <v>479</v>
      </c>
      <c r="C154" t="s">
        <v>627</v>
      </c>
      <c r="D154" s="5" t="s">
        <v>659</v>
      </c>
      <c r="E154" s="3">
        <v>4</v>
      </c>
      <c r="F154" s="3">
        <v>3</v>
      </c>
      <c r="G154" s="3">
        <v>5</v>
      </c>
      <c r="H154" s="3">
        <v>2</v>
      </c>
      <c r="I154" s="3">
        <v>4</v>
      </c>
      <c r="J154" s="3">
        <v>3</v>
      </c>
      <c r="K154" t="s">
        <v>634</v>
      </c>
      <c r="L154" s="3">
        <f t="shared" si="6"/>
        <v>3</v>
      </c>
      <c r="M154" s="3">
        <v>3</v>
      </c>
      <c r="N154" s="3">
        <v>1</v>
      </c>
      <c r="O154" s="3">
        <v>3</v>
      </c>
      <c r="P154" s="3">
        <v>2</v>
      </c>
      <c r="Q154" s="3">
        <v>4</v>
      </c>
      <c r="R154" s="3">
        <v>3</v>
      </c>
      <c r="S154" s="3">
        <v>2</v>
      </c>
      <c r="T154" s="3">
        <v>5</v>
      </c>
      <c r="U154" s="3">
        <v>5</v>
      </c>
      <c r="V154" t="s">
        <v>639</v>
      </c>
      <c r="W154" t="s">
        <v>641</v>
      </c>
      <c r="X154" t="s">
        <v>648</v>
      </c>
      <c r="Y154" t="s">
        <v>652</v>
      </c>
      <c r="Z154" t="s">
        <v>654</v>
      </c>
      <c r="AA154" s="4">
        <v>5</v>
      </c>
      <c r="AB154">
        <v>0</v>
      </c>
      <c r="AC154" s="3">
        <v>3</v>
      </c>
      <c r="AD154" t="s">
        <v>657</v>
      </c>
      <c r="AE154" s="3">
        <f t="shared" si="8"/>
        <v>1.25</v>
      </c>
      <c r="AF154" s="3">
        <f>AVERAGE(E154:U154)</f>
        <v>3.25</v>
      </c>
      <c r="AG154" s="3">
        <f>AVERAGEIF($C:$C, C154, $AE:$AE)</f>
        <v>1.25</v>
      </c>
      <c r="AH154" s="3">
        <f t="shared" si="7"/>
        <v>2</v>
      </c>
      <c r="AI154" s="3">
        <f>IF(Table1[[#This Row],[Attendance Bracket]]="&gt;75%", 1, IF(Table1[[#This Row],[Attendance Bracket]]="50-75%", 0.8, 0.6))</f>
        <v>0.6</v>
      </c>
      <c r="AJ154" s="3">
        <v>2</v>
      </c>
      <c r="AK154" s="3" t="s">
        <v>684</v>
      </c>
      <c r="AL154" s="3">
        <f>VLOOKUP(C154,Table14[[#All],[Department]:[Publication_count]], 2, FALSE)</f>
        <v>5</v>
      </c>
      <c r="AM154" s="3">
        <v>6.3333333329999997</v>
      </c>
      <c r="AN154" s="3">
        <v>2.4743589739999998</v>
      </c>
    </row>
    <row r="155" spans="1:40" x14ac:dyDescent="0.25">
      <c r="A155" t="s">
        <v>180</v>
      </c>
      <c r="B155" t="s">
        <v>480</v>
      </c>
      <c r="C155" t="s">
        <v>629</v>
      </c>
      <c r="D155" s="5" t="s">
        <v>660</v>
      </c>
      <c r="E155" s="3">
        <v>4</v>
      </c>
      <c r="F155" s="3">
        <v>2</v>
      </c>
      <c r="G155" s="3">
        <v>5</v>
      </c>
      <c r="H155" s="3">
        <v>2</v>
      </c>
      <c r="I155" s="3">
        <v>3</v>
      </c>
      <c r="J155" s="3">
        <v>4</v>
      </c>
      <c r="K155" t="s">
        <v>634</v>
      </c>
      <c r="L155" s="3">
        <f t="shared" si="6"/>
        <v>3</v>
      </c>
      <c r="M155" s="3">
        <v>4</v>
      </c>
      <c r="N155" s="3">
        <v>5</v>
      </c>
      <c r="O155" s="3">
        <v>3</v>
      </c>
      <c r="P155" s="3">
        <v>3</v>
      </c>
      <c r="Q155" s="3">
        <v>3</v>
      </c>
      <c r="R155" s="3">
        <v>5</v>
      </c>
      <c r="S155" s="3">
        <v>4</v>
      </c>
      <c r="T155" s="3">
        <v>1</v>
      </c>
      <c r="U155" s="3">
        <v>5</v>
      </c>
      <c r="V155" t="s">
        <v>637</v>
      </c>
      <c r="W155" t="s">
        <v>642</v>
      </c>
      <c r="X155" t="s">
        <v>649</v>
      </c>
      <c r="Y155" t="s">
        <v>653</v>
      </c>
      <c r="Z155" t="s">
        <v>655</v>
      </c>
      <c r="AA155" s="3">
        <v>10</v>
      </c>
      <c r="AB155">
        <v>1</v>
      </c>
      <c r="AC155" s="3">
        <v>1</v>
      </c>
      <c r="AD155" t="s">
        <v>657</v>
      </c>
      <c r="AE155" s="3">
        <f t="shared" si="8"/>
        <v>1.25</v>
      </c>
      <c r="AF155" s="3">
        <f>AVERAGE(E155:U155)</f>
        <v>3.5</v>
      </c>
      <c r="AG155" s="3">
        <f>AVERAGEIF($C:$C, C155, $AE:$AE)</f>
        <v>1.2450000000000001</v>
      </c>
      <c r="AH155" s="3">
        <f t="shared" si="7"/>
        <v>2.2549999999999999</v>
      </c>
      <c r="AI155" s="3">
        <f>IF(Table1[[#This Row],[Attendance Bracket]]="&gt;75%", 1, IF(Table1[[#This Row],[Attendance Bracket]]="50-75%", 0.8, 0.6))</f>
        <v>1</v>
      </c>
      <c r="AJ155" s="3">
        <v>1</v>
      </c>
      <c r="AK155" s="3" t="s">
        <v>684</v>
      </c>
      <c r="AL155" s="3">
        <f>VLOOKUP(C155,Table14[[#All],[Department]:[Publication_count]], 2, FALSE)</f>
        <v>3</v>
      </c>
      <c r="AM155" s="3">
        <v>4.6666666670000003</v>
      </c>
      <c r="AN155" s="3">
        <v>1.7179487179999999</v>
      </c>
    </row>
    <row r="156" spans="1:40" x14ac:dyDescent="0.25">
      <c r="A156" t="s">
        <v>181</v>
      </c>
      <c r="B156" t="s">
        <v>481</v>
      </c>
      <c r="C156" t="s">
        <v>628</v>
      </c>
      <c r="D156" s="5" t="s">
        <v>659</v>
      </c>
      <c r="E156" s="3">
        <v>5</v>
      </c>
      <c r="F156" s="3">
        <v>1</v>
      </c>
      <c r="G156" s="3">
        <v>1</v>
      </c>
      <c r="H156" s="3">
        <v>5</v>
      </c>
      <c r="I156" s="3">
        <v>4</v>
      </c>
      <c r="J156" s="3">
        <v>1</v>
      </c>
      <c r="K156" t="s">
        <v>633</v>
      </c>
      <c r="L156" s="3">
        <f t="shared" si="6"/>
        <v>2</v>
      </c>
      <c r="M156" s="3">
        <v>3</v>
      </c>
      <c r="N156" s="3">
        <v>3</v>
      </c>
      <c r="O156" s="3">
        <v>4</v>
      </c>
      <c r="P156" s="3">
        <v>2</v>
      </c>
      <c r="Q156" s="3">
        <v>5</v>
      </c>
      <c r="R156" s="3">
        <v>4</v>
      </c>
      <c r="S156" s="3">
        <v>2</v>
      </c>
      <c r="T156" s="3">
        <v>5</v>
      </c>
      <c r="U156" s="3">
        <v>2</v>
      </c>
      <c r="V156" t="s">
        <v>637</v>
      </c>
      <c r="W156" t="s">
        <v>642</v>
      </c>
      <c r="X156" t="s">
        <v>650</v>
      </c>
      <c r="Y156" t="s">
        <v>652</v>
      </c>
      <c r="Z156" t="s">
        <v>654</v>
      </c>
      <c r="AA156" s="3">
        <v>7</v>
      </c>
      <c r="AB156">
        <v>0</v>
      </c>
      <c r="AC156" s="3">
        <v>4</v>
      </c>
      <c r="AD156" t="s">
        <v>657</v>
      </c>
      <c r="AE156" s="3">
        <f t="shared" si="8"/>
        <v>1.25</v>
      </c>
      <c r="AF156" s="3">
        <f>AVERAGE(E156:U156)</f>
        <v>3.0625</v>
      </c>
      <c r="AG156" s="3">
        <f>AVERAGEIF($C:$C, C156, $AE:$AE)</f>
        <v>1.25</v>
      </c>
      <c r="AH156" s="3">
        <f t="shared" si="7"/>
        <v>1.8125</v>
      </c>
      <c r="AI156" s="3">
        <f>IF(Table1[[#This Row],[Attendance Bracket]]="&gt;75%", 1, IF(Table1[[#This Row],[Attendance Bracket]]="50-75%", 0.8, 0.6))</f>
        <v>0.6</v>
      </c>
      <c r="AJ156" s="3">
        <v>1</v>
      </c>
      <c r="AK156" s="3" t="s">
        <v>684</v>
      </c>
      <c r="AL156" s="3">
        <f>VLOOKUP(C156,Table14[[#All],[Department]:[Publication_count]], 2, FALSE)</f>
        <v>12</v>
      </c>
      <c r="AM156" s="3">
        <v>16.25</v>
      </c>
      <c r="AN156" s="3">
        <v>3</v>
      </c>
    </row>
    <row r="157" spans="1:40" x14ac:dyDescent="0.25">
      <c r="A157" t="s">
        <v>182</v>
      </c>
      <c r="B157" t="s">
        <v>482</v>
      </c>
      <c r="C157" t="s">
        <v>628</v>
      </c>
      <c r="D157" s="5" t="s">
        <v>630</v>
      </c>
      <c r="E157" s="3">
        <v>2</v>
      </c>
      <c r="F157" s="3">
        <v>5</v>
      </c>
      <c r="G157" s="3">
        <v>4</v>
      </c>
      <c r="H157" s="3">
        <v>1</v>
      </c>
      <c r="I157" s="3">
        <v>1</v>
      </c>
      <c r="J157" s="3">
        <v>4</v>
      </c>
      <c r="K157" t="s">
        <v>631</v>
      </c>
      <c r="L157" s="3">
        <f t="shared" si="6"/>
        <v>4</v>
      </c>
      <c r="M157" s="3">
        <v>2</v>
      </c>
      <c r="N157" s="3">
        <v>5</v>
      </c>
      <c r="O157" s="3">
        <v>3</v>
      </c>
      <c r="P157" s="3">
        <v>2</v>
      </c>
      <c r="Q157" s="3">
        <v>2</v>
      </c>
      <c r="R157" s="3">
        <v>4</v>
      </c>
      <c r="S157" s="3">
        <v>1</v>
      </c>
      <c r="T157" s="3">
        <v>2</v>
      </c>
      <c r="U157" s="3">
        <v>4</v>
      </c>
      <c r="V157" t="s">
        <v>638</v>
      </c>
      <c r="W157" t="s">
        <v>644</v>
      </c>
      <c r="X157" t="s">
        <v>646</v>
      </c>
      <c r="Y157" t="s">
        <v>653</v>
      </c>
      <c r="Z157" t="s">
        <v>654</v>
      </c>
      <c r="AA157" s="3">
        <v>8</v>
      </c>
      <c r="AB157">
        <v>0</v>
      </c>
      <c r="AC157" s="3">
        <v>3</v>
      </c>
      <c r="AD157" t="s">
        <v>657</v>
      </c>
      <c r="AE157" s="3">
        <f t="shared" si="8"/>
        <v>1.25</v>
      </c>
      <c r="AF157" s="3">
        <f>AVERAGE(E157:U157)</f>
        <v>2.875</v>
      </c>
      <c r="AG157" s="3">
        <f>AVERAGEIF($C:$C, C157, $AE:$AE)</f>
        <v>1.25</v>
      </c>
      <c r="AH157" s="3">
        <f t="shared" si="7"/>
        <v>1.625</v>
      </c>
      <c r="AI157" s="3">
        <f>IF(Table1[[#This Row],[Attendance Bracket]]="&gt;75%", 1, IF(Table1[[#This Row],[Attendance Bracket]]="50-75%", 0.8, 0.6))</f>
        <v>1</v>
      </c>
      <c r="AJ157" s="3">
        <v>2</v>
      </c>
      <c r="AK157" s="3" t="s">
        <v>684</v>
      </c>
      <c r="AL157" s="3">
        <f>VLOOKUP(C157,Table14[[#All],[Department]:[Publication_count]], 2, FALSE)</f>
        <v>12</v>
      </c>
      <c r="AM157" s="3">
        <v>16.25</v>
      </c>
      <c r="AN157" s="3">
        <v>5</v>
      </c>
    </row>
    <row r="158" spans="1:40" x14ac:dyDescent="0.25">
      <c r="A158" t="s">
        <v>183</v>
      </c>
      <c r="B158" t="s">
        <v>483</v>
      </c>
      <c r="C158" t="s">
        <v>629</v>
      </c>
      <c r="D158" s="5" t="s">
        <v>630</v>
      </c>
      <c r="E158" s="3">
        <v>1</v>
      </c>
      <c r="F158" s="3">
        <v>2</v>
      </c>
      <c r="G158" s="3">
        <v>5</v>
      </c>
      <c r="H158" s="3">
        <v>1</v>
      </c>
      <c r="I158" s="3">
        <v>4</v>
      </c>
      <c r="J158" s="3">
        <v>5</v>
      </c>
      <c r="K158" t="s">
        <v>631</v>
      </c>
      <c r="L158" s="3">
        <f t="shared" si="6"/>
        <v>4</v>
      </c>
      <c r="M158" s="3">
        <v>2</v>
      </c>
      <c r="N158" s="3">
        <v>5</v>
      </c>
      <c r="O158" s="3">
        <v>3</v>
      </c>
      <c r="P158" s="3">
        <v>2</v>
      </c>
      <c r="Q158" s="3">
        <v>4</v>
      </c>
      <c r="R158" s="3">
        <v>1</v>
      </c>
      <c r="S158" s="3">
        <v>1</v>
      </c>
      <c r="T158" s="3">
        <v>2</v>
      </c>
      <c r="U158" s="3">
        <v>5</v>
      </c>
      <c r="V158" t="s">
        <v>637</v>
      </c>
      <c r="W158" t="s">
        <v>645</v>
      </c>
      <c r="X158" t="s">
        <v>647</v>
      </c>
      <c r="Y158" t="s">
        <v>652</v>
      </c>
      <c r="Z158" t="s">
        <v>656</v>
      </c>
      <c r="AA158" s="3">
        <v>20</v>
      </c>
      <c r="AB158">
        <v>1</v>
      </c>
      <c r="AC158" s="3">
        <v>1</v>
      </c>
      <c r="AD158" t="s">
        <v>657</v>
      </c>
      <c r="AE158" s="3">
        <f>IF(AE160, 1.25, 1)</f>
        <v>1.25</v>
      </c>
      <c r="AF158" s="3">
        <f>AVERAGE(E158:U158)</f>
        <v>2.9375</v>
      </c>
      <c r="AG158" s="3">
        <f>AVERAGEIF($C:$C, C158, $AE:$AE)</f>
        <v>1.2450000000000001</v>
      </c>
      <c r="AH158" s="3">
        <f t="shared" si="7"/>
        <v>1.6924999999999999</v>
      </c>
      <c r="AI158" s="3">
        <f>IF(Table1[[#This Row],[Attendance Bracket]]="&gt;75%", 1, IF(Table1[[#This Row],[Attendance Bracket]]="50-75%", 0.8, 0.6))</f>
        <v>0.6</v>
      </c>
      <c r="AJ158" s="3">
        <v>3</v>
      </c>
      <c r="AK158" s="3" t="s">
        <v>634</v>
      </c>
      <c r="AL158" s="3">
        <f>VLOOKUP(C158,Table14[[#All],[Department]:[Publication_count]], 2, FALSE)</f>
        <v>3</v>
      </c>
      <c r="AM158" s="3">
        <v>4.6666666670000003</v>
      </c>
      <c r="AN158" s="3">
        <v>1.7179487179999999</v>
      </c>
    </row>
    <row r="159" spans="1:40" x14ac:dyDescent="0.25">
      <c r="A159" t="s">
        <v>184</v>
      </c>
      <c r="B159" t="s">
        <v>484</v>
      </c>
      <c r="C159" t="s">
        <v>628</v>
      </c>
      <c r="D159" s="5" t="s">
        <v>659</v>
      </c>
      <c r="E159" s="3">
        <v>5</v>
      </c>
      <c r="F159" s="3">
        <v>5</v>
      </c>
      <c r="G159" s="3">
        <v>4</v>
      </c>
      <c r="H159" s="3">
        <v>4</v>
      </c>
      <c r="I159" s="3">
        <v>5</v>
      </c>
      <c r="J159" s="3">
        <v>3</v>
      </c>
      <c r="K159" t="s">
        <v>632</v>
      </c>
      <c r="L159" s="3">
        <f t="shared" si="6"/>
        <v>1</v>
      </c>
      <c r="M159" s="3">
        <v>5</v>
      </c>
      <c r="N159" s="3">
        <v>2</v>
      </c>
      <c r="O159" s="3">
        <v>4</v>
      </c>
      <c r="P159" s="3">
        <v>3</v>
      </c>
      <c r="Q159" s="3">
        <v>3</v>
      </c>
      <c r="R159" s="3">
        <v>5</v>
      </c>
      <c r="S159" s="3">
        <v>1</v>
      </c>
      <c r="T159" s="3">
        <v>3</v>
      </c>
      <c r="U159" s="3">
        <v>2</v>
      </c>
      <c r="V159" t="s">
        <v>636</v>
      </c>
      <c r="W159" t="s">
        <v>644</v>
      </c>
      <c r="X159" t="s">
        <v>650</v>
      </c>
      <c r="Y159" t="s">
        <v>653</v>
      </c>
      <c r="Z159" t="s">
        <v>656</v>
      </c>
      <c r="AA159" s="3">
        <v>12</v>
      </c>
      <c r="AB159">
        <v>0</v>
      </c>
      <c r="AC159" s="3">
        <v>3</v>
      </c>
      <c r="AD159" t="s">
        <v>657</v>
      </c>
      <c r="AE159" s="3">
        <f>IF(AE161, 1.25, 1)</f>
        <v>1.25</v>
      </c>
      <c r="AF159" s="3">
        <f>AVERAGE(E159:U159)</f>
        <v>3.4375</v>
      </c>
      <c r="AG159" s="3">
        <f>AVERAGEIF($C:$C, C159, $AE:$AE)</f>
        <v>1.25</v>
      </c>
      <c r="AH159" s="3">
        <f t="shared" si="7"/>
        <v>2.1875</v>
      </c>
      <c r="AI159" s="3">
        <f>IF(Table1[[#This Row],[Attendance Bracket]]="&gt;75%", 1, IF(Table1[[#This Row],[Attendance Bracket]]="50-75%", 0.8, 0.6))</f>
        <v>1</v>
      </c>
      <c r="AJ159" s="3">
        <v>2</v>
      </c>
      <c r="AK159" s="3" t="s">
        <v>684</v>
      </c>
      <c r="AL159" s="3">
        <f>VLOOKUP(C159,Table14[[#All],[Department]:[Publication_count]], 2, FALSE)</f>
        <v>12</v>
      </c>
      <c r="AM159" s="3">
        <v>16.25</v>
      </c>
      <c r="AN159" s="3">
        <v>5</v>
      </c>
    </row>
    <row r="160" spans="1:40" x14ac:dyDescent="0.25">
      <c r="A160" t="s">
        <v>185</v>
      </c>
      <c r="B160" t="s">
        <v>485</v>
      </c>
      <c r="C160" t="s">
        <v>628</v>
      </c>
      <c r="D160" s="5" t="s">
        <v>660</v>
      </c>
      <c r="E160" s="3">
        <v>1</v>
      </c>
      <c r="F160" s="3">
        <v>3</v>
      </c>
      <c r="G160" s="3">
        <v>4</v>
      </c>
      <c r="H160" s="3">
        <v>5</v>
      </c>
      <c r="I160" s="3">
        <v>3</v>
      </c>
      <c r="J160" s="3">
        <v>4</v>
      </c>
      <c r="K160" t="s">
        <v>632</v>
      </c>
      <c r="L160" s="3">
        <f t="shared" si="6"/>
        <v>1</v>
      </c>
      <c r="M160" s="3">
        <v>3</v>
      </c>
      <c r="N160" s="3">
        <v>3</v>
      </c>
      <c r="O160" s="3">
        <v>5</v>
      </c>
      <c r="P160" s="3">
        <v>4</v>
      </c>
      <c r="Q160" s="3">
        <v>3</v>
      </c>
      <c r="R160" s="3">
        <v>4</v>
      </c>
      <c r="S160" s="3">
        <v>1</v>
      </c>
      <c r="T160" s="3">
        <v>5</v>
      </c>
      <c r="U160" s="3">
        <v>4</v>
      </c>
      <c r="V160" t="s">
        <v>639</v>
      </c>
      <c r="W160" t="s">
        <v>641</v>
      </c>
      <c r="X160" t="s">
        <v>646</v>
      </c>
      <c r="Y160" t="s">
        <v>653</v>
      </c>
      <c r="Z160" t="s">
        <v>655</v>
      </c>
      <c r="AA160" s="4">
        <v>5</v>
      </c>
      <c r="AB160">
        <v>1</v>
      </c>
      <c r="AC160" s="3">
        <v>3</v>
      </c>
      <c r="AD160" t="s">
        <v>657</v>
      </c>
      <c r="AE160" s="3">
        <f t="shared" si="8"/>
        <v>1.25</v>
      </c>
      <c r="AF160" s="3">
        <f>AVERAGE(E160:U160)</f>
        <v>3.3125</v>
      </c>
      <c r="AG160" s="3">
        <f>AVERAGEIF($C:$C, C160, $AE:$AE)</f>
        <v>1.25</v>
      </c>
      <c r="AH160" s="3">
        <f t="shared" si="7"/>
        <v>2.0625</v>
      </c>
      <c r="AI160" s="3">
        <f>IF(Table1[[#This Row],[Attendance Bracket]]="&gt;75%", 1, IF(Table1[[#This Row],[Attendance Bracket]]="50-75%", 0.8, 0.6))</f>
        <v>1</v>
      </c>
      <c r="AJ160" s="3">
        <v>2</v>
      </c>
      <c r="AK160" s="3" t="s">
        <v>684</v>
      </c>
      <c r="AL160" s="3">
        <f>VLOOKUP(C160,Table14[[#All],[Department]:[Publication_count]], 2, FALSE)</f>
        <v>12</v>
      </c>
      <c r="AM160" s="3">
        <v>16.25</v>
      </c>
      <c r="AN160" s="3">
        <v>4</v>
      </c>
    </row>
    <row r="161" spans="1:40" x14ac:dyDescent="0.25">
      <c r="A161" t="s">
        <v>186</v>
      </c>
      <c r="B161" t="s">
        <v>486</v>
      </c>
      <c r="C161" t="s">
        <v>627</v>
      </c>
      <c r="D161" s="5" t="s">
        <v>660</v>
      </c>
      <c r="E161" s="3">
        <v>4</v>
      </c>
      <c r="F161" s="3">
        <v>2</v>
      </c>
      <c r="G161" s="3">
        <v>1</v>
      </c>
      <c r="H161" s="3">
        <v>1</v>
      </c>
      <c r="I161" s="3">
        <v>4</v>
      </c>
      <c r="J161" s="3">
        <v>2</v>
      </c>
      <c r="K161" t="s">
        <v>632</v>
      </c>
      <c r="L161" s="3">
        <f t="shared" si="6"/>
        <v>1</v>
      </c>
      <c r="M161" s="3">
        <v>4</v>
      </c>
      <c r="N161" s="3">
        <v>3</v>
      </c>
      <c r="O161" s="3">
        <v>1</v>
      </c>
      <c r="P161" s="3">
        <v>1</v>
      </c>
      <c r="Q161" s="3">
        <v>1</v>
      </c>
      <c r="R161" s="3">
        <v>5</v>
      </c>
      <c r="S161" s="3">
        <v>1</v>
      </c>
      <c r="T161" s="3">
        <v>5</v>
      </c>
      <c r="U161" s="3">
        <v>3</v>
      </c>
      <c r="V161" t="s">
        <v>640</v>
      </c>
      <c r="W161" t="s">
        <v>643</v>
      </c>
      <c r="X161" t="s">
        <v>649</v>
      </c>
      <c r="Y161" t="s">
        <v>651</v>
      </c>
      <c r="Z161" t="s">
        <v>655</v>
      </c>
      <c r="AA161" s="3">
        <v>12</v>
      </c>
      <c r="AB161">
        <v>0</v>
      </c>
      <c r="AC161" s="3">
        <v>5</v>
      </c>
      <c r="AD161" t="s">
        <v>657</v>
      </c>
      <c r="AE161" s="3">
        <f t="shared" si="8"/>
        <v>1.25</v>
      </c>
      <c r="AF161" s="3">
        <f>AVERAGE(E161:U161)</f>
        <v>2.4375</v>
      </c>
      <c r="AG161" s="3">
        <f>AVERAGEIF($C:$C, C161, $AE:$AE)</f>
        <v>1.25</v>
      </c>
      <c r="AH161" s="3">
        <f t="shared" si="7"/>
        <v>1.1875</v>
      </c>
      <c r="AI161" s="3">
        <f>IF(Table1[[#This Row],[Attendance Bracket]]="&gt;75%", 1, IF(Table1[[#This Row],[Attendance Bracket]]="50-75%", 0.8, 0.6))</f>
        <v>0.8</v>
      </c>
      <c r="AJ161" s="3">
        <v>2</v>
      </c>
      <c r="AK161" s="3" t="s">
        <v>684</v>
      </c>
      <c r="AL161" s="3">
        <f>VLOOKUP(C161,Table14[[#All],[Department]:[Publication_count]], 2, FALSE)</f>
        <v>5</v>
      </c>
      <c r="AM161" s="3">
        <v>6.3333333329999997</v>
      </c>
      <c r="AN161" s="3">
        <v>1.974358974</v>
      </c>
    </row>
    <row r="162" spans="1:40" x14ac:dyDescent="0.25">
      <c r="A162" t="s">
        <v>187</v>
      </c>
      <c r="B162" t="s">
        <v>487</v>
      </c>
      <c r="C162" t="s">
        <v>628</v>
      </c>
      <c r="D162" s="5" t="s">
        <v>659</v>
      </c>
      <c r="E162" s="3">
        <v>1</v>
      </c>
      <c r="F162" s="3">
        <v>4</v>
      </c>
      <c r="G162" s="3">
        <v>4</v>
      </c>
      <c r="H162" s="3">
        <v>3</v>
      </c>
      <c r="I162" s="3">
        <v>3</v>
      </c>
      <c r="J162" s="3">
        <v>4</v>
      </c>
      <c r="K162" t="s">
        <v>632</v>
      </c>
      <c r="L162" s="3">
        <f t="shared" si="6"/>
        <v>1</v>
      </c>
      <c r="M162" s="3">
        <v>5</v>
      </c>
      <c r="N162" s="3">
        <v>5</v>
      </c>
      <c r="O162" s="3">
        <v>4</v>
      </c>
      <c r="P162" s="3">
        <v>5</v>
      </c>
      <c r="Q162" s="3">
        <v>2</v>
      </c>
      <c r="R162" s="3">
        <v>3</v>
      </c>
      <c r="S162" s="3">
        <v>4</v>
      </c>
      <c r="T162" s="3">
        <v>2</v>
      </c>
      <c r="U162" s="3">
        <v>5</v>
      </c>
      <c r="V162" t="s">
        <v>640</v>
      </c>
      <c r="W162" t="s">
        <v>643</v>
      </c>
      <c r="X162" t="s">
        <v>648</v>
      </c>
      <c r="Y162" t="s">
        <v>652</v>
      </c>
      <c r="Z162" t="s">
        <v>654</v>
      </c>
      <c r="AA162" s="3">
        <v>10</v>
      </c>
      <c r="AB162">
        <v>0</v>
      </c>
      <c r="AC162" s="3">
        <v>2</v>
      </c>
      <c r="AD162" t="s">
        <v>657</v>
      </c>
      <c r="AE162" s="3">
        <f t="shared" si="8"/>
        <v>1.25</v>
      </c>
      <c r="AF162" s="3">
        <f>AVERAGE(E162:U162)</f>
        <v>3.4375</v>
      </c>
      <c r="AG162" s="3">
        <f>AVERAGEIF($C:$C, C162, $AE:$AE)</f>
        <v>1.25</v>
      </c>
      <c r="AH162" s="3">
        <f t="shared" si="7"/>
        <v>2.1875</v>
      </c>
      <c r="AI162" s="3">
        <f>IF(Table1[[#This Row],[Attendance Bracket]]="&gt;75%", 1, IF(Table1[[#This Row],[Attendance Bracket]]="50-75%", 0.8, 0.6))</f>
        <v>0.6</v>
      </c>
      <c r="AJ162" s="3">
        <v>2</v>
      </c>
      <c r="AK162" s="3" t="s">
        <v>684</v>
      </c>
      <c r="AL162" s="3">
        <f>VLOOKUP(C162,Table14[[#All],[Department]:[Publication_count]], 2, FALSE)</f>
        <v>12</v>
      </c>
      <c r="AM162" s="3">
        <v>16.25</v>
      </c>
      <c r="AN162" s="3">
        <v>4.5</v>
      </c>
    </row>
    <row r="163" spans="1:40" x14ac:dyDescent="0.25">
      <c r="A163" t="s">
        <v>188</v>
      </c>
      <c r="B163" t="s">
        <v>488</v>
      </c>
      <c r="C163" t="s">
        <v>628</v>
      </c>
      <c r="D163" s="5" t="s">
        <v>630</v>
      </c>
      <c r="E163" s="3">
        <v>2</v>
      </c>
      <c r="F163" s="3">
        <v>3</v>
      </c>
      <c r="G163" s="3">
        <v>1</v>
      </c>
      <c r="H163" s="3">
        <v>3</v>
      </c>
      <c r="I163" s="3">
        <v>4</v>
      </c>
      <c r="J163" s="3">
        <v>5</v>
      </c>
      <c r="K163" t="s">
        <v>633</v>
      </c>
      <c r="L163" s="3">
        <f t="shared" si="6"/>
        <v>2</v>
      </c>
      <c r="M163" s="3">
        <v>5</v>
      </c>
      <c r="N163" s="3">
        <v>4</v>
      </c>
      <c r="O163" s="3">
        <v>1</v>
      </c>
      <c r="P163" s="3">
        <v>3</v>
      </c>
      <c r="Q163" s="3">
        <v>5</v>
      </c>
      <c r="R163" s="3">
        <v>3</v>
      </c>
      <c r="S163" s="3">
        <v>4</v>
      </c>
      <c r="T163" s="3">
        <v>2</v>
      </c>
      <c r="U163" s="3">
        <v>4</v>
      </c>
      <c r="V163" t="s">
        <v>638</v>
      </c>
      <c r="W163" t="s">
        <v>641</v>
      </c>
      <c r="X163" t="s">
        <v>650</v>
      </c>
      <c r="Y163" t="s">
        <v>653</v>
      </c>
      <c r="Z163" t="s">
        <v>655</v>
      </c>
      <c r="AA163" s="3">
        <v>13</v>
      </c>
      <c r="AB163">
        <v>1</v>
      </c>
      <c r="AC163" s="3">
        <v>4</v>
      </c>
      <c r="AD163" t="s">
        <v>657</v>
      </c>
      <c r="AE163" s="3">
        <f t="shared" si="8"/>
        <v>1.25</v>
      </c>
      <c r="AF163" s="3">
        <f>AVERAGE(E163:U163)</f>
        <v>3.1875</v>
      </c>
      <c r="AG163" s="3">
        <f>AVERAGEIF($C:$C, C163, $AE:$AE)</f>
        <v>1.25</v>
      </c>
      <c r="AH163" s="3">
        <f t="shared" si="7"/>
        <v>1.9375</v>
      </c>
      <c r="AI163" s="3">
        <f>IF(Table1[[#This Row],[Attendance Bracket]]="&gt;75%", 1, IF(Table1[[#This Row],[Attendance Bracket]]="50-75%", 0.8, 0.6))</f>
        <v>1</v>
      </c>
      <c r="AJ163" s="3">
        <v>2</v>
      </c>
      <c r="AK163" s="3" t="s">
        <v>684</v>
      </c>
      <c r="AL163" s="3">
        <f>VLOOKUP(C163,Table14[[#All],[Department]:[Publication_count]], 2, FALSE)</f>
        <v>12</v>
      </c>
      <c r="AM163" s="3">
        <v>16.25</v>
      </c>
      <c r="AN163" s="3">
        <v>4</v>
      </c>
    </row>
    <row r="164" spans="1:40" x14ac:dyDescent="0.25">
      <c r="A164" t="s">
        <v>189</v>
      </c>
      <c r="B164" t="s">
        <v>489</v>
      </c>
      <c r="C164" t="s">
        <v>629</v>
      </c>
      <c r="D164" s="5" t="s">
        <v>659</v>
      </c>
      <c r="E164" s="3">
        <v>1</v>
      </c>
      <c r="F164" s="3">
        <v>1</v>
      </c>
      <c r="G164" s="3">
        <v>4</v>
      </c>
      <c r="H164" s="3">
        <v>2</v>
      </c>
      <c r="I164" s="3">
        <v>4</v>
      </c>
      <c r="J164" s="3">
        <v>5</v>
      </c>
      <c r="K164" t="s">
        <v>631</v>
      </c>
      <c r="L164" s="3">
        <f t="shared" si="6"/>
        <v>4</v>
      </c>
      <c r="M164" s="3">
        <v>5</v>
      </c>
      <c r="N164" s="3">
        <v>2</v>
      </c>
      <c r="O164" s="3">
        <v>4</v>
      </c>
      <c r="P164" s="3">
        <v>2</v>
      </c>
      <c r="Q164" s="3">
        <v>5</v>
      </c>
      <c r="R164" s="3">
        <v>3</v>
      </c>
      <c r="S164" s="3">
        <v>4</v>
      </c>
      <c r="T164" s="3">
        <v>3</v>
      </c>
      <c r="U164" s="3">
        <v>5</v>
      </c>
      <c r="V164" t="s">
        <v>640</v>
      </c>
      <c r="W164" t="s">
        <v>645</v>
      </c>
      <c r="X164" t="s">
        <v>648</v>
      </c>
      <c r="Y164" t="s">
        <v>651</v>
      </c>
      <c r="Z164" t="s">
        <v>655</v>
      </c>
      <c r="AA164" s="3">
        <v>7</v>
      </c>
      <c r="AB164">
        <v>1</v>
      </c>
      <c r="AC164" s="3">
        <v>1</v>
      </c>
      <c r="AD164" t="s">
        <v>657</v>
      </c>
      <c r="AE164" s="3">
        <f>IF(AE166, 1.25, 1)</f>
        <v>1.25</v>
      </c>
      <c r="AF164" s="3">
        <f>AVERAGE(E164:U164)</f>
        <v>3.375</v>
      </c>
      <c r="AG164" s="3">
        <f>AVERAGEIF($C:$C, C164, $AE:$AE)</f>
        <v>1.2450000000000001</v>
      </c>
      <c r="AH164" s="3">
        <f t="shared" si="7"/>
        <v>2.13</v>
      </c>
      <c r="AI164" s="3">
        <f>IF(Table1[[#This Row],[Attendance Bracket]]="&gt;75%", 1, IF(Table1[[#This Row],[Attendance Bracket]]="50-75%", 0.8, 0.6))</f>
        <v>0.8</v>
      </c>
      <c r="AJ164" s="3">
        <v>3</v>
      </c>
      <c r="AK164" s="3" t="s">
        <v>634</v>
      </c>
      <c r="AL164" s="3">
        <f>VLOOKUP(C164,Table14[[#All],[Department]:[Publication_count]], 2, FALSE)</f>
        <v>3</v>
      </c>
      <c r="AM164" s="3">
        <v>4.6666666670000003</v>
      </c>
      <c r="AN164" s="3">
        <v>1.2179487179999999</v>
      </c>
    </row>
    <row r="165" spans="1:40" x14ac:dyDescent="0.25">
      <c r="A165" t="s">
        <v>190</v>
      </c>
      <c r="B165" t="s">
        <v>490</v>
      </c>
      <c r="C165" t="s">
        <v>628</v>
      </c>
      <c r="D165" s="5" t="s">
        <v>659</v>
      </c>
      <c r="E165" s="3">
        <v>4</v>
      </c>
      <c r="F165" s="3">
        <v>3</v>
      </c>
      <c r="G165" s="3">
        <v>4</v>
      </c>
      <c r="H165" s="3">
        <v>3</v>
      </c>
      <c r="I165" s="3">
        <v>1</v>
      </c>
      <c r="J165" s="3">
        <v>2</v>
      </c>
      <c r="K165" t="s">
        <v>631</v>
      </c>
      <c r="L165" s="3">
        <f t="shared" si="6"/>
        <v>4</v>
      </c>
      <c r="M165" s="3">
        <v>5</v>
      </c>
      <c r="N165" s="3">
        <v>4</v>
      </c>
      <c r="O165" s="3">
        <v>1</v>
      </c>
      <c r="P165" s="3">
        <v>4</v>
      </c>
      <c r="Q165" s="3">
        <v>4</v>
      </c>
      <c r="R165" s="3">
        <v>4</v>
      </c>
      <c r="S165" s="3">
        <v>5</v>
      </c>
      <c r="T165" s="3">
        <v>1</v>
      </c>
      <c r="U165" s="3">
        <v>2</v>
      </c>
      <c r="V165" t="s">
        <v>640</v>
      </c>
      <c r="W165" t="s">
        <v>641</v>
      </c>
      <c r="X165" t="s">
        <v>648</v>
      </c>
      <c r="Y165" t="s">
        <v>653</v>
      </c>
      <c r="Z165" t="s">
        <v>656</v>
      </c>
      <c r="AA165" s="3">
        <v>13</v>
      </c>
      <c r="AB165">
        <v>1</v>
      </c>
      <c r="AC165" s="3">
        <v>4</v>
      </c>
      <c r="AD165" t="s">
        <v>657</v>
      </c>
      <c r="AE165" s="3">
        <f>IF(AE167, 1.25, 1)</f>
        <v>1.25</v>
      </c>
      <c r="AF165" s="3">
        <f>AVERAGE(E165:U165)</f>
        <v>3.1875</v>
      </c>
      <c r="AG165" s="3">
        <f>AVERAGEIF($C:$C, C165, $AE:$AE)</f>
        <v>1.25</v>
      </c>
      <c r="AH165" s="3">
        <f t="shared" si="7"/>
        <v>1.9375</v>
      </c>
      <c r="AI165" s="3">
        <f>IF(Table1[[#This Row],[Attendance Bracket]]="&gt;75%", 1, IF(Table1[[#This Row],[Attendance Bracket]]="50-75%", 0.8, 0.6))</f>
        <v>1</v>
      </c>
      <c r="AJ165" s="3">
        <v>2</v>
      </c>
      <c r="AK165" s="3" t="s">
        <v>684</v>
      </c>
      <c r="AL165" s="3">
        <f>VLOOKUP(C165,Table14[[#All],[Department]:[Publication_count]], 2, FALSE)</f>
        <v>12</v>
      </c>
      <c r="AM165" s="3">
        <v>16.25</v>
      </c>
      <c r="AN165" s="3">
        <v>4</v>
      </c>
    </row>
    <row r="166" spans="1:40" x14ac:dyDescent="0.25">
      <c r="A166" t="s">
        <v>191</v>
      </c>
      <c r="B166" t="s">
        <v>491</v>
      </c>
      <c r="C166" t="s">
        <v>627</v>
      </c>
      <c r="D166" s="5" t="s">
        <v>660</v>
      </c>
      <c r="E166" s="3">
        <v>3</v>
      </c>
      <c r="F166" s="3">
        <v>3</v>
      </c>
      <c r="G166" s="3">
        <v>3</v>
      </c>
      <c r="H166" s="3">
        <v>5</v>
      </c>
      <c r="I166" s="3">
        <v>1</v>
      </c>
      <c r="J166" s="3">
        <v>2</v>
      </c>
      <c r="K166" t="s">
        <v>631</v>
      </c>
      <c r="L166" s="3">
        <f t="shared" si="6"/>
        <v>4</v>
      </c>
      <c r="M166" s="3">
        <v>4</v>
      </c>
      <c r="N166" s="3">
        <v>3</v>
      </c>
      <c r="O166" s="3">
        <v>2</v>
      </c>
      <c r="P166" s="3">
        <v>5</v>
      </c>
      <c r="Q166" s="3">
        <v>4</v>
      </c>
      <c r="R166" s="3">
        <v>3</v>
      </c>
      <c r="S166" s="3">
        <v>3</v>
      </c>
      <c r="T166" s="3">
        <v>2</v>
      </c>
      <c r="U166" s="3">
        <v>5</v>
      </c>
      <c r="V166" t="s">
        <v>637</v>
      </c>
      <c r="W166" t="s">
        <v>641</v>
      </c>
      <c r="X166" t="s">
        <v>647</v>
      </c>
      <c r="Y166" t="s">
        <v>652</v>
      </c>
      <c r="Z166" t="s">
        <v>654</v>
      </c>
      <c r="AA166" s="4">
        <v>5</v>
      </c>
      <c r="AB166">
        <v>1</v>
      </c>
      <c r="AC166" s="3">
        <v>1</v>
      </c>
      <c r="AD166" t="s">
        <v>657</v>
      </c>
      <c r="AE166" s="3">
        <f t="shared" si="8"/>
        <v>1.25</v>
      </c>
      <c r="AF166" s="3">
        <f>AVERAGE(E166:U166)</f>
        <v>3.25</v>
      </c>
      <c r="AG166" s="3">
        <f>AVERAGEIF($C:$C, C166, $AE:$AE)</f>
        <v>1.25</v>
      </c>
      <c r="AH166" s="3">
        <f t="shared" si="7"/>
        <v>2</v>
      </c>
      <c r="AI166" s="3">
        <f>IF(Table1[[#This Row],[Attendance Bracket]]="&gt;75%", 1, IF(Table1[[#This Row],[Attendance Bracket]]="50-75%", 0.8, 0.6))</f>
        <v>0.6</v>
      </c>
      <c r="AJ166" s="3">
        <v>2</v>
      </c>
      <c r="AK166" s="3" t="s">
        <v>684</v>
      </c>
      <c r="AL166" s="3">
        <f>VLOOKUP(C166,Table14[[#All],[Department]:[Publication_count]], 2, FALSE)</f>
        <v>5</v>
      </c>
      <c r="AM166" s="3">
        <v>6.3333333329999997</v>
      </c>
      <c r="AN166" s="3">
        <v>2.4743589739999998</v>
      </c>
    </row>
    <row r="167" spans="1:40" x14ac:dyDescent="0.25">
      <c r="A167" t="s">
        <v>192</v>
      </c>
      <c r="B167" t="s">
        <v>492</v>
      </c>
      <c r="C167" t="s">
        <v>628</v>
      </c>
      <c r="D167" s="5" t="s">
        <v>660</v>
      </c>
      <c r="E167" s="3">
        <v>5</v>
      </c>
      <c r="F167" s="3">
        <v>1</v>
      </c>
      <c r="G167" s="3">
        <v>2</v>
      </c>
      <c r="H167" s="3">
        <v>2</v>
      </c>
      <c r="I167" s="3">
        <v>4</v>
      </c>
      <c r="J167" s="3">
        <v>4</v>
      </c>
      <c r="K167" t="s">
        <v>635</v>
      </c>
      <c r="L167" s="3">
        <f t="shared" si="6"/>
        <v>5</v>
      </c>
      <c r="M167" s="3">
        <v>5</v>
      </c>
      <c r="N167" s="3">
        <v>2</v>
      </c>
      <c r="O167" s="3">
        <v>1</v>
      </c>
      <c r="P167" s="3">
        <v>2</v>
      </c>
      <c r="Q167" s="3">
        <v>5</v>
      </c>
      <c r="R167" s="3">
        <v>5</v>
      </c>
      <c r="S167" s="3">
        <v>3</v>
      </c>
      <c r="T167" s="3">
        <v>5</v>
      </c>
      <c r="U167" s="3">
        <v>1</v>
      </c>
      <c r="V167" t="s">
        <v>636</v>
      </c>
      <c r="W167" t="s">
        <v>644</v>
      </c>
      <c r="X167" t="s">
        <v>649</v>
      </c>
      <c r="Y167" t="s">
        <v>653</v>
      </c>
      <c r="Z167" t="s">
        <v>654</v>
      </c>
      <c r="AA167" s="3">
        <v>10</v>
      </c>
      <c r="AB167">
        <v>1</v>
      </c>
      <c r="AC167" s="3">
        <v>3</v>
      </c>
      <c r="AD167" t="s">
        <v>657</v>
      </c>
      <c r="AE167" s="3">
        <f>IF(AE169, 1.25, 1)</f>
        <v>1.25</v>
      </c>
      <c r="AF167" s="3">
        <f>AVERAGE(E167:U167)</f>
        <v>3.25</v>
      </c>
      <c r="AG167" s="3">
        <f>AVERAGEIF($C:$C, C167, $AE:$AE)</f>
        <v>1.25</v>
      </c>
      <c r="AH167" s="3">
        <f t="shared" si="7"/>
        <v>2</v>
      </c>
      <c r="AI167" s="3">
        <f>IF(Table1[[#This Row],[Attendance Bracket]]="&gt;75%", 1, IF(Table1[[#This Row],[Attendance Bracket]]="50-75%", 0.8, 0.6))</f>
        <v>1</v>
      </c>
      <c r="AJ167" s="3">
        <v>2</v>
      </c>
      <c r="AK167" s="3" t="s">
        <v>684</v>
      </c>
      <c r="AL167" s="3">
        <f>VLOOKUP(C167,Table14[[#All],[Department]:[Publication_count]], 2, FALSE)</f>
        <v>12</v>
      </c>
      <c r="AM167" s="3">
        <v>16.25</v>
      </c>
      <c r="AN167" s="3">
        <v>3</v>
      </c>
    </row>
    <row r="168" spans="1:40" x14ac:dyDescent="0.25">
      <c r="A168" t="s">
        <v>193</v>
      </c>
      <c r="B168" t="s">
        <v>493</v>
      </c>
      <c r="C168" t="s">
        <v>628</v>
      </c>
      <c r="D168" s="5" t="s">
        <v>659</v>
      </c>
      <c r="E168" s="3">
        <v>4</v>
      </c>
      <c r="F168" s="3">
        <v>4</v>
      </c>
      <c r="G168" s="3">
        <v>3</v>
      </c>
      <c r="H168" s="3">
        <v>1</v>
      </c>
      <c r="I168" s="3">
        <v>4</v>
      </c>
      <c r="J168" s="3">
        <v>1</v>
      </c>
      <c r="K168" t="s">
        <v>635</v>
      </c>
      <c r="L168" s="3">
        <f t="shared" si="6"/>
        <v>5</v>
      </c>
      <c r="M168" s="3">
        <v>3</v>
      </c>
      <c r="N168" s="3">
        <v>2</v>
      </c>
      <c r="O168" s="3">
        <v>1</v>
      </c>
      <c r="P168" s="3">
        <v>5</v>
      </c>
      <c r="Q168" s="3">
        <v>2</v>
      </c>
      <c r="R168" s="3">
        <v>1</v>
      </c>
      <c r="S168" s="3">
        <v>1</v>
      </c>
      <c r="T168" s="3">
        <v>1</v>
      </c>
      <c r="U168" s="3">
        <v>4</v>
      </c>
      <c r="V168" t="s">
        <v>640</v>
      </c>
      <c r="W168" t="s">
        <v>644</v>
      </c>
      <c r="X168" t="s">
        <v>648</v>
      </c>
      <c r="Y168" t="s">
        <v>653</v>
      </c>
      <c r="Z168" t="s">
        <v>654</v>
      </c>
      <c r="AA168" s="3">
        <v>14</v>
      </c>
      <c r="AB168">
        <v>0</v>
      </c>
      <c r="AC168" s="3">
        <v>4</v>
      </c>
      <c r="AD168" t="s">
        <v>657</v>
      </c>
      <c r="AE168" s="3">
        <f>IF(AE170, 1.25, 1)</f>
        <v>1.25</v>
      </c>
      <c r="AF168" s="3">
        <f>AVERAGE(E168:U168)</f>
        <v>2.625</v>
      </c>
      <c r="AG168" s="3">
        <f>AVERAGEIF($C:$C, C168, $AE:$AE)</f>
        <v>1.25</v>
      </c>
      <c r="AH168" s="3">
        <f t="shared" si="7"/>
        <v>1.375</v>
      </c>
      <c r="AI168" s="3">
        <f>IF(Table1[[#This Row],[Attendance Bracket]]="&gt;75%", 1, IF(Table1[[#This Row],[Attendance Bracket]]="50-75%", 0.8, 0.6))</f>
        <v>1</v>
      </c>
      <c r="AJ168" s="3">
        <v>2</v>
      </c>
      <c r="AK168" s="3" t="s">
        <v>684</v>
      </c>
      <c r="AL168" s="3">
        <f>VLOOKUP(C168,Table14[[#All],[Department]:[Publication_count]], 2, FALSE)</f>
        <v>12</v>
      </c>
      <c r="AM168" s="3">
        <v>16.25</v>
      </c>
      <c r="AN168" s="3">
        <v>4.5</v>
      </c>
    </row>
    <row r="169" spans="1:40" x14ac:dyDescent="0.25">
      <c r="A169" t="s">
        <v>194</v>
      </c>
      <c r="B169" t="s">
        <v>494</v>
      </c>
      <c r="C169" t="s">
        <v>629</v>
      </c>
      <c r="D169" s="5" t="s">
        <v>659</v>
      </c>
      <c r="E169" s="3">
        <v>1</v>
      </c>
      <c r="F169" s="3">
        <v>1</v>
      </c>
      <c r="G169" s="3">
        <v>5</v>
      </c>
      <c r="H169" s="3">
        <v>5</v>
      </c>
      <c r="I169" s="3">
        <v>2</v>
      </c>
      <c r="J169" s="3">
        <v>5</v>
      </c>
      <c r="K169" t="s">
        <v>631</v>
      </c>
      <c r="L169" s="3">
        <f t="shared" si="6"/>
        <v>4</v>
      </c>
      <c r="M169" s="3">
        <v>4</v>
      </c>
      <c r="N169" s="3">
        <v>4</v>
      </c>
      <c r="O169" s="3">
        <v>5</v>
      </c>
      <c r="P169" s="3">
        <v>5</v>
      </c>
      <c r="Q169" s="3">
        <v>1</v>
      </c>
      <c r="R169" s="3">
        <v>2</v>
      </c>
      <c r="S169" s="3">
        <v>4</v>
      </c>
      <c r="T169" s="3">
        <v>5</v>
      </c>
      <c r="U169" s="3">
        <v>1</v>
      </c>
      <c r="V169" t="s">
        <v>638</v>
      </c>
      <c r="W169" t="s">
        <v>642</v>
      </c>
      <c r="X169" t="s">
        <v>650</v>
      </c>
      <c r="Y169" t="s">
        <v>653</v>
      </c>
      <c r="Z169" t="s">
        <v>654</v>
      </c>
      <c r="AA169" s="4">
        <v>5</v>
      </c>
      <c r="AB169">
        <v>0</v>
      </c>
      <c r="AC169" s="3">
        <v>2</v>
      </c>
      <c r="AD169" t="s">
        <v>657</v>
      </c>
      <c r="AE169" s="3">
        <f t="shared" si="8"/>
        <v>1.25</v>
      </c>
      <c r="AF169" s="3">
        <f>AVERAGE(E169:U169)</f>
        <v>3.375</v>
      </c>
      <c r="AG169" s="3">
        <f>AVERAGEIF($C:$C, C169, $AE:$AE)</f>
        <v>1.2450000000000001</v>
      </c>
      <c r="AH169" s="3">
        <f t="shared" si="7"/>
        <v>2.13</v>
      </c>
      <c r="AI169" s="3">
        <f>IF(Table1[[#This Row],[Attendance Bracket]]="&gt;75%", 1, IF(Table1[[#This Row],[Attendance Bracket]]="50-75%", 0.8, 0.6))</f>
        <v>1</v>
      </c>
      <c r="AJ169" s="3">
        <v>1</v>
      </c>
      <c r="AK169" s="3" t="s">
        <v>684</v>
      </c>
      <c r="AL169" s="3">
        <f>VLOOKUP(C169,Table14[[#All],[Department]:[Publication_count]], 2, FALSE)</f>
        <v>3</v>
      </c>
      <c r="AM169" s="3">
        <v>4.6666666670000003</v>
      </c>
      <c r="AN169" s="3">
        <v>1.2179487179999999</v>
      </c>
    </row>
    <row r="170" spans="1:40" x14ac:dyDescent="0.25">
      <c r="A170" t="s">
        <v>195</v>
      </c>
      <c r="B170" t="s">
        <v>495</v>
      </c>
      <c r="C170" t="s">
        <v>629</v>
      </c>
      <c r="D170" s="5" t="s">
        <v>630</v>
      </c>
      <c r="E170" s="3">
        <v>4</v>
      </c>
      <c r="F170" s="3">
        <v>2</v>
      </c>
      <c r="G170" s="3">
        <v>4</v>
      </c>
      <c r="H170" s="3">
        <v>4</v>
      </c>
      <c r="I170" s="3">
        <v>4</v>
      </c>
      <c r="J170" s="3">
        <v>1</v>
      </c>
      <c r="K170" t="s">
        <v>634</v>
      </c>
      <c r="L170" s="3">
        <f t="shared" si="6"/>
        <v>3</v>
      </c>
      <c r="M170" s="3">
        <v>1</v>
      </c>
      <c r="N170" s="3">
        <v>5</v>
      </c>
      <c r="O170" s="3">
        <v>2</v>
      </c>
      <c r="P170" s="3">
        <v>4</v>
      </c>
      <c r="Q170" s="3">
        <v>3</v>
      </c>
      <c r="R170" s="3">
        <v>1</v>
      </c>
      <c r="S170" s="3">
        <v>1</v>
      </c>
      <c r="T170" s="3">
        <v>3</v>
      </c>
      <c r="U170" s="3">
        <v>1</v>
      </c>
      <c r="V170" t="s">
        <v>638</v>
      </c>
      <c r="W170" t="s">
        <v>644</v>
      </c>
      <c r="X170" t="s">
        <v>647</v>
      </c>
      <c r="Y170" t="s">
        <v>652</v>
      </c>
      <c r="Z170" t="s">
        <v>654</v>
      </c>
      <c r="AA170" s="3">
        <v>13</v>
      </c>
      <c r="AB170">
        <v>0</v>
      </c>
      <c r="AC170" s="3">
        <v>1</v>
      </c>
      <c r="AD170" t="s">
        <v>657</v>
      </c>
      <c r="AE170" s="3">
        <f t="shared" si="8"/>
        <v>1.25</v>
      </c>
      <c r="AF170" s="3">
        <f>AVERAGE(E170:U170)</f>
        <v>2.6875</v>
      </c>
      <c r="AG170" s="3">
        <f>AVERAGEIF($C:$C, C170, $AE:$AE)</f>
        <v>1.2450000000000001</v>
      </c>
      <c r="AH170" s="3">
        <f t="shared" si="7"/>
        <v>1.4424999999999999</v>
      </c>
      <c r="AI170" s="3">
        <f>IF(Table1[[#This Row],[Attendance Bracket]]="&gt;75%", 1, IF(Table1[[#This Row],[Attendance Bracket]]="50-75%", 0.8, 0.6))</f>
        <v>0.6</v>
      </c>
      <c r="AJ170" s="3">
        <v>2</v>
      </c>
      <c r="AK170" s="3" t="s">
        <v>684</v>
      </c>
      <c r="AL170" s="3">
        <f>VLOOKUP(C170,Table14[[#All],[Department]:[Publication_count]], 2, FALSE)</f>
        <v>3</v>
      </c>
      <c r="AM170" s="3">
        <v>4.6666666670000003</v>
      </c>
      <c r="AN170" s="3">
        <v>1.7179487179999999</v>
      </c>
    </row>
    <row r="171" spans="1:40" x14ac:dyDescent="0.25">
      <c r="A171" t="s">
        <v>196</v>
      </c>
      <c r="B171" t="s">
        <v>496</v>
      </c>
      <c r="C171" t="s">
        <v>627</v>
      </c>
      <c r="D171" s="5" t="s">
        <v>660</v>
      </c>
      <c r="E171" s="3">
        <v>2</v>
      </c>
      <c r="F171" s="3">
        <v>5</v>
      </c>
      <c r="G171" s="3">
        <v>2</v>
      </c>
      <c r="H171" s="3">
        <v>2</v>
      </c>
      <c r="I171" s="3">
        <v>5</v>
      </c>
      <c r="J171" s="3">
        <v>2</v>
      </c>
      <c r="K171" t="s">
        <v>631</v>
      </c>
      <c r="L171" s="3">
        <f t="shared" si="6"/>
        <v>4</v>
      </c>
      <c r="M171" s="3">
        <v>2</v>
      </c>
      <c r="N171" s="3">
        <v>3</v>
      </c>
      <c r="O171" s="3">
        <v>2</v>
      </c>
      <c r="P171" s="3">
        <v>3</v>
      </c>
      <c r="Q171" s="3">
        <v>5</v>
      </c>
      <c r="R171" s="3">
        <v>2</v>
      </c>
      <c r="S171" s="3">
        <v>5</v>
      </c>
      <c r="T171" s="3">
        <v>4</v>
      </c>
      <c r="U171" s="3">
        <v>4</v>
      </c>
      <c r="V171" t="s">
        <v>636</v>
      </c>
      <c r="W171" t="s">
        <v>644</v>
      </c>
      <c r="X171" t="s">
        <v>648</v>
      </c>
      <c r="Y171" t="s">
        <v>651</v>
      </c>
      <c r="Z171" t="s">
        <v>655</v>
      </c>
      <c r="AA171" s="3">
        <v>20</v>
      </c>
      <c r="AB171">
        <v>0</v>
      </c>
      <c r="AC171" s="3">
        <v>1</v>
      </c>
      <c r="AD171" t="s">
        <v>657</v>
      </c>
      <c r="AE171" s="3">
        <f t="shared" si="8"/>
        <v>1.25</v>
      </c>
      <c r="AF171" s="3">
        <f>AVERAGE(E171:U171)</f>
        <v>3.25</v>
      </c>
      <c r="AG171" s="3">
        <f>AVERAGEIF($C:$C, C171, $AE:$AE)</f>
        <v>1.25</v>
      </c>
      <c r="AH171" s="3">
        <f t="shared" si="7"/>
        <v>2</v>
      </c>
      <c r="AI171" s="3">
        <f>IF(Table1[[#This Row],[Attendance Bracket]]="&gt;75%", 1, IF(Table1[[#This Row],[Attendance Bracket]]="50-75%", 0.8, 0.6))</f>
        <v>0.8</v>
      </c>
      <c r="AJ171" s="3">
        <v>2</v>
      </c>
      <c r="AK171" s="3" t="s">
        <v>684</v>
      </c>
      <c r="AL171" s="3">
        <f>VLOOKUP(C171,Table14[[#All],[Department]:[Publication_count]], 2, FALSE)</f>
        <v>5</v>
      </c>
      <c r="AM171" s="3">
        <v>6.3333333329999997</v>
      </c>
      <c r="AN171" s="3">
        <v>3.4743589739999998</v>
      </c>
    </row>
    <row r="172" spans="1:40" x14ac:dyDescent="0.25">
      <c r="A172" t="s">
        <v>197</v>
      </c>
      <c r="B172" t="s">
        <v>497</v>
      </c>
      <c r="C172" t="s">
        <v>629</v>
      </c>
      <c r="D172" s="5" t="s">
        <v>659</v>
      </c>
      <c r="E172" s="3">
        <v>3</v>
      </c>
      <c r="F172" s="3">
        <v>2</v>
      </c>
      <c r="G172" s="3">
        <v>5</v>
      </c>
      <c r="H172" s="3">
        <v>1</v>
      </c>
      <c r="I172" s="3">
        <v>1</v>
      </c>
      <c r="J172" s="3">
        <v>2</v>
      </c>
      <c r="K172" t="s">
        <v>632</v>
      </c>
      <c r="L172" s="3">
        <f t="shared" si="6"/>
        <v>1</v>
      </c>
      <c r="M172" s="3">
        <v>2</v>
      </c>
      <c r="N172" s="3">
        <v>4</v>
      </c>
      <c r="O172" s="3">
        <v>1</v>
      </c>
      <c r="P172" s="3">
        <v>1</v>
      </c>
      <c r="Q172" s="3">
        <v>4</v>
      </c>
      <c r="R172" s="3">
        <v>5</v>
      </c>
      <c r="S172" s="3">
        <v>3</v>
      </c>
      <c r="T172" s="3">
        <v>4</v>
      </c>
      <c r="U172" s="3">
        <v>1</v>
      </c>
      <c r="V172" t="s">
        <v>640</v>
      </c>
      <c r="W172" t="s">
        <v>645</v>
      </c>
      <c r="X172" t="s">
        <v>647</v>
      </c>
      <c r="Y172" t="s">
        <v>651</v>
      </c>
      <c r="Z172" t="s">
        <v>656</v>
      </c>
      <c r="AA172" s="3">
        <v>20</v>
      </c>
      <c r="AB172">
        <v>0</v>
      </c>
      <c r="AC172" s="3">
        <v>3</v>
      </c>
      <c r="AD172" t="s">
        <v>657</v>
      </c>
      <c r="AE172" s="3">
        <f t="shared" si="8"/>
        <v>1.25</v>
      </c>
      <c r="AF172" s="3">
        <f>AVERAGE(E172:U172)</f>
        <v>2.5</v>
      </c>
      <c r="AG172" s="3">
        <f>AVERAGEIF($C:$C, C172, $AE:$AE)</f>
        <v>1.2450000000000001</v>
      </c>
      <c r="AH172" s="3">
        <f t="shared" si="7"/>
        <v>1.2549999999999999</v>
      </c>
      <c r="AI172" s="3">
        <f>IF(Table1[[#This Row],[Attendance Bracket]]="&gt;75%", 1, IF(Table1[[#This Row],[Attendance Bracket]]="50-75%", 0.8, 0.6))</f>
        <v>0.8</v>
      </c>
      <c r="AJ172" s="3">
        <v>3</v>
      </c>
      <c r="AK172" s="3" t="s">
        <v>634</v>
      </c>
      <c r="AL172" s="3">
        <f>VLOOKUP(C172,Table14[[#All],[Department]:[Publication_count]], 2, FALSE)</f>
        <v>3</v>
      </c>
      <c r="AM172" s="3">
        <v>4.6666666670000003</v>
      </c>
      <c r="AN172" s="3">
        <v>1.7179487179999999</v>
      </c>
    </row>
    <row r="173" spans="1:40" x14ac:dyDescent="0.25">
      <c r="A173" t="s">
        <v>198</v>
      </c>
      <c r="B173" t="s">
        <v>498</v>
      </c>
      <c r="C173" t="s">
        <v>628</v>
      </c>
      <c r="D173" s="5" t="s">
        <v>659</v>
      </c>
      <c r="E173" s="3">
        <v>4</v>
      </c>
      <c r="F173" s="3">
        <v>4</v>
      </c>
      <c r="G173" s="3">
        <v>2</v>
      </c>
      <c r="H173" s="3">
        <v>5</v>
      </c>
      <c r="I173" s="3">
        <v>4</v>
      </c>
      <c r="J173" s="3">
        <v>5</v>
      </c>
      <c r="K173" t="s">
        <v>632</v>
      </c>
      <c r="L173" s="3">
        <f t="shared" si="6"/>
        <v>1</v>
      </c>
      <c r="M173" s="3">
        <v>1</v>
      </c>
      <c r="N173" s="3">
        <v>3</v>
      </c>
      <c r="O173" s="3">
        <v>2</v>
      </c>
      <c r="P173" s="3">
        <v>1</v>
      </c>
      <c r="Q173" s="3">
        <v>4</v>
      </c>
      <c r="R173" s="3">
        <v>4</v>
      </c>
      <c r="S173" s="3">
        <v>1</v>
      </c>
      <c r="T173" s="3">
        <v>4</v>
      </c>
      <c r="U173" s="3">
        <v>4</v>
      </c>
      <c r="V173" t="s">
        <v>640</v>
      </c>
      <c r="W173" t="s">
        <v>641</v>
      </c>
      <c r="X173" t="s">
        <v>647</v>
      </c>
      <c r="Y173" t="s">
        <v>653</v>
      </c>
      <c r="Z173" t="s">
        <v>654</v>
      </c>
      <c r="AA173" s="3">
        <v>7</v>
      </c>
      <c r="AB173">
        <v>1</v>
      </c>
      <c r="AC173" s="3">
        <v>3</v>
      </c>
      <c r="AD173" t="s">
        <v>657</v>
      </c>
      <c r="AE173" s="3">
        <f t="shared" si="8"/>
        <v>1.25</v>
      </c>
      <c r="AF173" s="3">
        <f>AVERAGE(E173:U173)</f>
        <v>3.0625</v>
      </c>
      <c r="AG173" s="3">
        <f>AVERAGEIF($C:$C, C173, $AE:$AE)</f>
        <v>1.25</v>
      </c>
      <c r="AH173" s="3">
        <f t="shared" si="7"/>
        <v>1.8125</v>
      </c>
      <c r="AI173" s="3">
        <f>IF(Table1[[#This Row],[Attendance Bracket]]="&gt;75%", 1, IF(Table1[[#This Row],[Attendance Bracket]]="50-75%", 0.8, 0.6))</f>
        <v>1</v>
      </c>
      <c r="AJ173" s="3">
        <v>2</v>
      </c>
      <c r="AK173" s="3" t="s">
        <v>684</v>
      </c>
      <c r="AL173" s="3">
        <f>VLOOKUP(C173,Table14[[#All],[Department]:[Publication_count]], 2, FALSE)</f>
        <v>12</v>
      </c>
      <c r="AM173" s="3">
        <v>16.25</v>
      </c>
      <c r="AN173" s="3">
        <v>4.5</v>
      </c>
    </row>
    <row r="174" spans="1:40" x14ac:dyDescent="0.25">
      <c r="A174" t="s">
        <v>199</v>
      </c>
      <c r="B174" t="s">
        <v>499</v>
      </c>
      <c r="C174" t="s">
        <v>627</v>
      </c>
      <c r="D174" s="5" t="s">
        <v>660</v>
      </c>
      <c r="E174" s="3">
        <v>5</v>
      </c>
      <c r="F174" s="3">
        <v>5</v>
      </c>
      <c r="G174" s="3">
        <v>2</v>
      </c>
      <c r="H174" s="3">
        <v>1</v>
      </c>
      <c r="I174" s="3">
        <v>5</v>
      </c>
      <c r="J174" s="3">
        <v>1</v>
      </c>
      <c r="K174" t="s">
        <v>631</v>
      </c>
      <c r="L174" s="3">
        <f t="shared" si="6"/>
        <v>4</v>
      </c>
      <c r="M174" s="3">
        <v>1</v>
      </c>
      <c r="N174" s="3">
        <v>2</v>
      </c>
      <c r="O174" s="3">
        <v>3</v>
      </c>
      <c r="P174" s="3">
        <v>1</v>
      </c>
      <c r="Q174" s="3">
        <v>1</v>
      </c>
      <c r="R174" s="3">
        <v>1</v>
      </c>
      <c r="S174" s="3">
        <v>5</v>
      </c>
      <c r="T174" s="3">
        <v>4</v>
      </c>
      <c r="U174" s="3">
        <v>1</v>
      </c>
      <c r="V174" t="s">
        <v>636</v>
      </c>
      <c r="W174" t="s">
        <v>643</v>
      </c>
      <c r="X174" t="s">
        <v>648</v>
      </c>
      <c r="Y174" t="s">
        <v>651</v>
      </c>
      <c r="Z174" t="s">
        <v>654</v>
      </c>
      <c r="AA174" s="3">
        <v>18</v>
      </c>
      <c r="AB174">
        <v>1</v>
      </c>
      <c r="AC174" s="3">
        <v>4</v>
      </c>
      <c r="AD174" t="s">
        <v>657</v>
      </c>
      <c r="AE174" s="3">
        <f t="shared" si="8"/>
        <v>1.25</v>
      </c>
      <c r="AF174" s="3">
        <f>AVERAGE(E174:U174)</f>
        <v>2.625</v>
      </c>
      <c r="AG174" s="3">
        <f>AVERAGEIF($C:$C, C174, $AE:$AE)</f>
        <v>1.25</v>
      </c>
      <c r="AH174" s="3">
        <f t="shared" si="7"/>
        <v>1.375</v>
      </c>
      <c r="AI174" s="3">
        <f>IF(Table1[[#This Row],[Attendance Bracket]]="&gt;75%", 1, IF(Table1[[#This Row],[Attendance Bracket]]="50-75%", 0.8, 0.6))</f>
        <v>0.8</v>
      </c>
      <c r="AJ174" s="3">
        <v>2</v>
      </c>
      <c r="AK174" s="3" t="s">
        <v>684</v>
      </c>
      <c r="AL174" s="3">
        <f>VLOOKUP(C174,Table14[[#All],[Department]:[Publication_count]], 2, FALSE)</f>
        <v>5</v>
      </c>
      <c r="AM174" s="3">
        <v>6.3333333329999997</v>
      </c>
      <c r="AN174" s="3">
        <v>3.4743589739999998</v>
      </c>
    </row>
    <row r="175" spans="1:40" x14ac:dyDescent="0.25">
      <c r="A175" t="s">
        <v>200</v>
      </c>
      <c r="B175" t="s">
        <v>500</v>
      </c>
      <c r="C175" t="s">
        <v>629</v>
      </c>
      <c r="D175" s="5" t="s">
        <v>660</v>
      </c>
      <c r="E175" s="3">
        <v>3</v>
      </c>
      <c r="F175" s="3">
        <v>4</v>
      </c>
      <c r="G175" s="3">
        <v>4</v>
      </c>
      <c r="H175" s="3">
        <v>3</v>
      </c>
      <c r="I175" s="3">
        <v>1</v>
      </c>
      <c r="J175" s="3">
        <v>3</v>
      </c>
      <c r="K175" t="s">
        <v>635</v>
      </c>
      <c r="L175" s="3">
        <f t="shared" si="6"/>
        <v>5</v>
      </c>
      <c r="M175" s="3">
        <v>5</v>
      </c>
      <c r="N175" s="3">
        <v>2</v>
      </c>
      <c r="O175" s="3">
        <v>5</v>
      </c>
      <c r="P175" s="3">
        <v>1</v>
      </c>
      <c r="Q175" s="3">
        <v>1</v>
      </c>
      <c r="R175" s="3">
        <v>2</v>
      </c>
      <c r="S175" s="3">
        <v>3</v>
      </c>
      <c r="T175" s="3">
        <v>5</v>
      </c>
      <c r="U175" s="3">
        <v>5</v>
      </c>
      <c r="V175" t="s">
        <v>637</v>
      </c>
      <c r="W175" t="s">
        <v>644</v>
      </c>
      <c r="X175" t="s">
        <v>646</v>
      </c>
      <c r="Y175" t="s">
        <v>651</v>
      </c>
      <c r="Z175" t="s">
        <v>654</v>
      </c>
      <c r="AA175" s="3">
        <v>11</v>
      </c>
      <c r="AB175">
        <v>1</v>
      </c>
      <c r="AC175" s="3">
        <v>1</v>
      </c>
      <c r="AD175" t="s">
        <v>657</v>
      </c>
      <c r="AE175" s="3">
        <f t="shared" si="8"/>
        <v>1.25</v>
      </c>
      <c r="AF175" s="3">
        <f>AVERAGE(E175:U175)</f>
        <v>3.25</v>
      </c>
      <c r="AG175" s="3">
        <f>AVERAGEIF($C:$C, C175, $AE:$AE)</f>
        <v>1.2450000000000001</v>
      </c>
      <c r="AH175" s="3">
        <f t="shared" si="7"/>
        <v>2.0049999999999999</v>
      </c>
      <c r="AI175" s="3">
        <f>IF(Table1[[#This Row],[Attendance Bracket]]="&gt;75%", 1, IF(Table1[[#This Row],[Attendance Bracket]]="50-75%", 0.8, 0.6))</f>
        <v>0.8</v>
      </c>
      <c r="AJ175" s="3">
        <v>2</v>
      </c>
      <c r="AK175" s="3" t="s">
        <v>684</v>
      </c>
      <c r="AL175" s="3">
        <f>VLOOKUP(C175,Table14[[#All],[Department]:[Publication_count]], 2, FALSE)</f>
        <v>3</v>
      </c>
      <c r="AM175" s="3">
        <v>4.6666666670000003</v>
      </c>
      <c r="AN175" s="3">
        <v>2.7179487180000002</v>
      </c>
    </row>
    <row r="176" spans="1:40" x14ac:dyDescent="0.25">
      <c r="A176" t="s">
        <v>201</v>
      </c>
      <c r="B176" t="s">
        <v>501</v>
      </c>
      <c r="C176" t="s">
        <v>629</v>
      </c>
      <c r="D176" s="5" t="s">
        <v>659</v>
      </c>
      <c r="E176" s="3">
        <v>2</v>
      </c>
      <c r="F176" s="3">
        <v>5</v>
      </c>
      <c r="G176" s="3">
        <v>3</v>
      </c>
      <c r="H176" s="3">
        <v>3</v>
      </c>
      <c r="I176" s="3">
        <v>5</v>
      </c>
      <c r="J176" s="3">
        <v>1</v>
      </c>
      <c r="K176" t="s">
        <v>632</v>
      </c>
      <c r="L176" s="3">
        <f t="shared" si="6"/>
        <v>1</v>
      </c>
      <c r="M176" s="3">
        <v>1</v>
      </c>
      <c r="N176" s="3">
        <v>1</v>
      </c>
      <c r="O176" s="3">
        <v>3</v>
      </c>
      <c r="P176" s="3">
        <v>4</v>
      </c>
      <c r="Q176" s="3">
        <v>5</v>
      </c>
      <c r="R176" s="3">
        <v>5</v>
      </c>
      <c r="S176" s="3">
        <v>1</v>
      </c>
      <c r="T176" s="3">
        <v>3</v>
      </c>
      <c r="U176" s="3">
        <v>5</v>
      </c>
      <c r="V176" t="s">
        <v>637</v>
      </c>
      <c r="W176" t="s">
        <v>645</v>
      </c>
      <c r="X176" t="s">
        <v>646</v>
      </c>
      <c r="Y176" t="s">
        <v>652</v>
      </c>
      <c r="Z176" t="s">
        <v>655</v>
      </c>
      <c r="AA176" s="3">
        <v>11</v>
      </c>
      <c r="AB176">
        <v>1</v>
      </c>
      <c r="AC176" s="3">
        <v>2</v>
      </c>
      <c r="AD176" t="s">
        <v>657</v>
      </c>
      <c r="AE176" s="3">
        <f t="shared" si="8"/>
        <v>1.25</v>
      </c>
      <c r="AF176" s="3">
        <f>AVERAGE(E176:U176)</f>
        <v>3</v>
      </c>
      <c r="AG176" s="3">
        <f>AVERAGEIF($C:$C, C176, $AE:$AE)</f>
        <v>1.2450000000000001</v>
      </c>
      <c r="AH176" s="3">
        <f t="shared" si="7"/>
        <v>1.7549999999999999</v>
      </c>
      <c r="AI176" s="3">
        <f>IF(Table1[[#This Row],[Attendance Bracket]]="&gt;75%", 1, IF(Table1[[#This Row],[Attendance Bracket]]="50-75%", 0.8, 0.6))</f>
        <v>0.6</v>
      </c>
      <c r="AJ176" s="3">
        <v>3</v>
      </c>
      <c r="AK176" s="3" t="s">
        <v>634</v>
      </c>
      <c r="AL176" s="3">
        <f>VLOOKUP(C176,Table14[[#All],[Department]:[Publication_count]], 2, FALSE)</f>
        <v>3</v>
      </c>
      <c r="AM176" s="3">
        <v>4.6666666670000003</v>
      </c>
      <c r="AN176" s="3">
        <v>3.2179487180000002</v>
      </c>
    </row>
    <row r="177" spans="1:40" x14ac:dyDescent="0.25">
      <c r="A177" t="s">
        <v>202</v>
      </c>
      <c r="B177" t="s">
        <v>502</v>
      </c>
      <c r="C177" t="s">
        <v>629</v>
      </c>
      <c r="D177" s="5" t="s">
        <v>630</v>
      </c>
      <c r="E177" s="3">
        <v>5</v>
      </c>
      <c r="F177" s="3">
        <v>1</v>
      </c>
      <c r="G177" s="3">
        <v>5</v>
      </c>
      <c r="H177" s="3">
        <v>1</v>
      </c>
      <c r="I177" s="3">
        <v>1</v>
      </c>
      <c r="J177" s="3">
        <v>2</v>
      </c>
      <c r="K177" t="s">
        <v>635</v>
      </c>
      <c r="L177" s="3">
        <f t="shared" si="6"/>
        <v>5</v>
      </c>
      <c r="M177" s="3">
        <v>4</v>
      </c>
      <c r="N177" s="3">
        <v>4</v>
      </c>
      <c r="O177" s="3">
        <v>3</v>
      </c>
      <c r="P177" s="3">
        <v>3</v>
      </c>
      <c r="Q177" s="3">
        <v>3</v>
      </c>
      <c r="R177" s="3">
        <v>2</v>
      </c>
      <c r="S177" s="3">
        <v>1</v>
      </c>
      <c r="T177" s="3">
        <v>3</v>
      </c>
      <c r="U177" s="3">
        <v>1</v>
      </c>
      <c r="V177" t="s">
        <v>636</v>
      </c>
      <c r="W177" t="s">
        <v>641</v>
      </c>
      <c r="X177" t="s">
        <v>650</v>
      </c>
      <c r="Y177" t="s">
        <v>652</v>
      </c>
      <c r="Z177" t="s">
        <v>655</v>
      </c>
      <c r="AA177" s="3">
        <v>12</v>
      </c>
      <c r="AB177">
        <v>0</v>
      </c>
      <c r="AC177" s="3">
        <v>5</v>
      </c>
      <c r="AD177" t="s">
        <v>657</v>
      </c>
      <c r="AE177" s="3">
        <f t="shared" si="8"/>
        <v>1.25</v>
      </c>
      <c r="AF177" s="3">
        <f>AVERAGE(E177:U177)</f>
        <v>2.75</v>
      </c>
      <c r="AG177" s="3">
        <f>AVERAGEIF($C:$C, C177, $AE:$AE)</f>
        <v>1.2450000000000001</v>
      </c>
      <c r="AH177" s="3">
        <f t="shared" si="7"/>
        <v>1.5049999999999999</v>
      </c>
      <c r="AI177" s="3">
        <f>IF(Table1[[#This Row],[Attendance Bracket]]="&gt;75%", 1, IF(Table1[[#This Row],[Attendance Bracket]]="50-75%", 0.8, 0.6))</f>
        <v>0.6</v>
      </c>
      <c r="AJ177" s="3">
        <v>2</v>
      </c>
      <c r="AK177" s="3" t="s">
        <v>684</v>
      </c>
      <c r="AL177" s="3">
        <f>VLOOKUP(C177,Table14[[#All],[Department]:[Publication_count]], 2, FALSE)</f>
        <v>3</v>
      </c>
      <c r="AM177" s="3">
        <v>4.6666666670000003</v>
      </c>
      <c r="AN177" s="3">
        <v>1.2179487179999999</v>
      </c>
    </row>
    <row r="178" spans="1:40" x14ac:dyDescent="0.25">
      <c r="A178" t="s">
        <v>203</v>
      </c>
      <c r="B178" t="s">
        <v>503</v>
      </c>
      <c r="C178" t="s">
        <v>629</v>
      </c>
      <c r="D178" s="5" t="s">
        <v>660</v>
      </c>
      <c r="E178" s="3">
        <v>4</v>
      </c>
      <c r="F178" s="3">
        <v>2</v>
      </c>
      <c r="G178" s="3">
        <v>1</v>
      </c>
      <c r="H178" s="3">
        <v>4</v>
      </c>
      <c r="I178" s="3">
        <v>5</v>
      </c>
      <c r="J178" s="3">
        <v>1</v>
      </c>
      <c r="K178" t="s">
        <v>632</v>
      </c>
      <c r="L178" s="3">
        <f t="shared" si="6"/>
        <v>1</v>
      </c>
      <c r="M178" s="3">
        <v>1</v>
      </c>
      <c r="N178" s="3">
        <v>3</v>
      </c>
      <c r="O178" s="3">
        <v>1</v>
      </c>
      <c r="P178" s="3">
        <v>1</v>
      </c>
      <c r="Q178" s="3">
        <v>4</v>
      </c>
      <c r="R178" s="3">
        <v>4</v>
      </c>
      <c r="S178" s="3">
        <v>1</v>
      </c>
      <c r="T178" s="3">
        <v>5</v>
      </c>
      <c r="U178" s="3">
        <v>5</v>
      </c>
      <c r="V178" t="s">
        <v>639</v>
      </c>
      <c r="W178" t="s">
        <v>643</v>
      </c>
      <c r="X178" t="s">
        <v>649</v>
      </c>
      <c r="Y178" t="s">
        <v>653</v>
      </c>
      <c r="Z178" t="s">
        <v>656</v>
      </c>
      <c r="AA178" s="3">
        <v>17</v>
      </c>
      <c r="AB178">
        <v>1</v>
      </c>
      <c r="AC178" s="3">
        <v>4</v>
      </c>
      <c r="AD178" t="s">
        <v>657</v>
      </c>
      <c r="AE178" s="3">
        <f t="shared" si="8"/>
        <v>1.25</v>
      </c>
      <c r="AF178" s="3">
        <f>AVERAGE(E178:U178)</f>
        <v>2.6875</v>
      </c>
      <c r="AG178" s="3">
        <f>AVERAGEIF($C:$C, C178, $AE:$AE)</f>
        <v>1.2450000000000001</v>
      </c>
      <c r="AH178" s="3">
        <f t="shared" si="7"/>
        <v>1.4424999999999999</v>
      </c>
      <c r="AI178" s="3">
        <f>IF(Table1[[#This Row],[Attendance Bracket]]="&gt;75%", 1, IF(Table1[[#This Row],[Attendance Bracket]]="50-75%", 0.8, 0.6))</f>
        <v>1</v>
      </c>
      <c r="AJ178" s="3">
        <v>2</v>
      </c>
      <c r="AK178" s="3" t="s">
        <v>684</v>
      </c>
      <c r="AL178" s="3">
        <f>VLOOKUP(C178,Table14[[#All],[Department]:[Publication_count]], 2, FALSE)</f>
        <v>3</v>
      </c>
      <c r="AM178" s="3">
        <v>4.6666666670000003</v>
      </c>
      <c r="AN178" s="3">
        <v>1.7179487179999999</v>
      </c>
    </row>
    <row r="179" spans="1:40" x14ac:dyDescent="0.25">
      <c r="A179" t="s">
        <v>204</v>
      </c>
      <c r="B179" t="s">
        <v>504</v>
      </c>
      <c r="C179" t="s">
        <v>629</v>
      </c>
      <c r="D179" s="5" t="s">
        <v>660</v>
      </c>
      <c r="E179" s="3">
        <v>4</v>
      </c>
      <c r="F179" s="3">
        <v>1</v>
      </c>
      <c r="G179" s="3">
        <v>5</v>
      </c>
      <c r="H179" s="3">
        <v>5</v>
      </c>
      <c r="I179" s="3">
        <v>2</v>
      </c>
      <c r="J179" s="3">
        <v>5</v>
      </c>
      <c r="K179" t="s">
        <v>635</v>
      </c>
      <c r="L179" s="3">
        <f t="shared" si="6"/>
        <v>5</v>
      </c>
      <c r="M179" s="3">
        <v>4</v>
      </c>
      <c r="N179" s="3">
        <v>2</v>
      </c>
      <c r="O179" s="3">
        <v>2</v>
      </c>
      <c r="P179" s="3">
        <v>4</v>
      </c>
      <c r="Q179" s="3">
        <v>1</v>
      </c>
      <c r="R179" s="3">
        <v>1</v>
      </c>
      <c r="S179" s="3">
        <v>5</v>
      </c>
      <c r="T179" s="3">
        <v>4</v>
      </c>
      <c r="U179" s="3">
        <v>3</v>
      </c>
      <c r="V179" t="s">
        <v>639</v>
      </c>
      <c r="W179" t="s">
        <v>643</v>
      </c>
      <c r="X179" t="s">
        <v>649</v>
      </c>
      <c r="Y179" t="s">
        <v>653</v>
      </c>
      <c r="Z179" t="s">
        <v>654</v>
      </c>
      <c r="AA179" s="3">
        <v>14</v>
      </c>
      <c r="AB179">
        <v>0</v>
      </c>
      <c r="AC179" s="3">
        <v>5</v>
      </c>
      <c r="AD179" t="s">
        <v>657</v>
      </c>
      <c r="AE179" s="3">
        <f t="shared" si="8"/>
        <v>1.25</v>
      </c>
      <c r="AF179" s="3">
        <f>AVERAGE(E179:U179)</f>
        <v>3.3125</v>
      </c>
      <c r="AG179" s="3">
        <f>AVERAGEIF($C:$C, C179, $AE:$AE)</f>
        <v>1.2450000000000001</v>
      </c>
      <c r="AH179" s="3">
        <f t="shared" si="7"/>
        <v>2.0674999999999999</v>
      </c>
      <c r="AI179" s="3">
        <f>IF(Table1[[#This Row],[Attendance Bracket]]="&gt;75%", 1, IF(Table1[[#This Row],[Attendance Bracket]]="50-75%", 0.8, 0.6))</f>
        <v>1</v>
      </c>
      <c r="AJ179" s="3">
        <v>2</v>
      </c>
      <c r="AK179" s="3" t="s">
        <v>684</v>
      </c>
      <c r="AL179" s="3">
        <f>VLOOKUP(C179,Table14[[#All],[Department]:[Publication_count]], 2, FALSE)</f>
        <v>3</v>
      </c>
      <c r="AM179" s="3">
        <v>4.6666666670000003</v>
      </c>
      <c r="AN179" s="3">
        <v>1.2179487179999999</v>
      </c>
    </row>
    <row r="180" spans="1:40" x14ac:dyDescent="0.25">
      <c r="A180" t="s">
        <v>205</v>
      </c>
      <c r="B180" t="s">
        <v>505</v>
      </c>
      <c r="C180" t="s">
        <v>627</v>
      </c>
      <c r="D180" s="5" t="s">
        <v>660</v>
      </c>
      <c r="E180" s="3">
        <v>3</v>
      </c>
      <c r="F180" s="3">
        <v>1</v>
      </c>
      <c r="G180" s="3">
        <v>4</v>
      </c>
      <c r="H180" s="3">
        <v>1</v>
      </c>
      <c r="I180" s="3">
        <v>1</v>
      </c>
      <c r="J180" s="3">
        <v>1</v>
      </c>
      <c r="K180" t="s">
        <v>635</v>
      </c>
      <c r="L180" s="3">
        <f t="shared" si="6"/>
        <v>5</v>
      </c>
      <c r="M180" s="3">
        <v>2</v>
      </c>
      <c r="N180" s="3">
        <v>2</v>
      </c>
      <c r="O180" s="3">
        <v>3</v>
      </c>
      <c r="P180" s="3">
        <v>2</v>
      </c>
      <c r="Q180" s="3">
        <v>1</v>
      </c>
      <c r="R180" s="3">
        <v>3</v>
      </c>
      <c r="S180" s="3">
        <v>5</v>
      </c>
      <c r="T180" s="3">
        <v>1</v>
      </c>
      <c r="U180" s="3">
        <v>5</v>
      </c>
      <c r="V180" t="s">
        <v>639</v>
      </c>
      <c r="W180" t="s">
        <v>645</v>
      </c>
      <c r="X180" t="s">
        <v>648</v>
      </c>
      <c r="Y180" t="s">
        <v>651</v>
      </c>
      <c r="Z180" t="s">
        <v>654</v>
      </c>
      <c r="AA180" s="3">
        <v>9</v>
      </c>
      <c r="AB180">
        <v>1</v>
      </c>
      <c r="AC180" s="3">
        <v>1</v>
      </c>
      <c r="AD180" t="s">
        <v>657</v>
      </c>
      <c r="AE180" s="3">
        <f t="shared" si="8"/>
        <v>1.25</v>
      </c>
      <c r="AF180" s="3">
        <f>AVERAGE(E180:U180)</f>
        <v>2.5</v>
      </c>
      <c r="AG180" s="3">
        <f>AVERAGEIF($C:$C, C180, $AE:$AE)</f>
        <v>1.25</v>
      </c>
      <c r="AH180" s="3">
        <f t="shared" si="7"/>
        <v>1.25</v>
      </c>
      <c r="AI180" s="3">
        <f>IF(Table1[[#This Row],[Attendance Bracket]]="&gt;75%", 1, IF(Table1[[#This Row],[Attendance Bracket]]="50-75%", 0.8, 0.6))</f>
        <v>0.8</v>
      </c>
      <c r="AJ180" s="3">
        <v>3</v>
      </c>
      <c r="AK180" s="3" t="s">
        <v>634</v>
      </c>
      <c r="AL180" s="3">
        <f>VLOOKUP(C180,Table14[[#All],[Department]:[Publication_count]], 2, FALSE)</f>
        <v>5</v>
      </c>
      <c r="AM180" s="3">
        <v>6.3333333329999997</v>
      </c>
      <c r="AN180" s="3">
        <v>1.474358974</v>
      </c>
    </row>
    <row r="181" spans="1:40" x14ac:dyDescent="0.25">
      <c r="A181" t="s">
        <v>206</v>
      </c>
      <c r="B181" t="s">
        <v>506</v>
      </c>
      <c r="C181" t="s">
        <v>628</v>
      </c>
      <c r="D181" s="5" t="s">
        <v>659</v>
      </c>
      <c r="E181" s="3">
        <v>4</v>
      </c>
      <c r="F181" s="3">
        <v>5</v>
      </c>
      <c r="G181" s="3">
        <v>2</v>
      </c>
      <c r="H181" s="3">
        <v>5</v>
      </c>
      <c r="I181" s="3">
        <v>2</v>
      </c>
      <c r="J181" s="3">
        <v>2</v>
      </c>
      <c r="K181" t="s">
        <v>635</v>
      </c>
      <c r="L181" s="3">
        <f t="shared" si="6"/>
        <v>5</v>
      </c>
      <c r="M181" s="3">
        <v>5</v>
      </c>
      <c r="N181" s="3">
        <v>5</v>
      </c>
      <c r="O181" s="3">
        <v>1</v>
      </c>
      <c r="P181" s="3">
        <v>2</v>
      </c>
      <c r="Q181" s="3">
        <v>3</v>
      </c>
      <c r="R181" s="3">
        <v>1</v>
      </c>
      <c r="S181" s="3">
        <v>4</v>
      </c>
      <c r="T181" s="3">
        <v>1</v>
      </c>
      <c r="U181" s="3">
        <v>1</v>
      </c>
      <c r="V181" t="s">
        <v>639</v>
      </c>
      <c r="W181" t="s">
        <v>645</v>
      </c>
      <c r="X181" t="s">
        <v>648</v>
      </c>
      <c r="Y181" t="s">
        <v>653</v>
      </c>
      <c r="Z181" t="s">
        <v>656</v>
      </c>
      <c r="AA181" s="3">
        <v>6</v>
      </c>
      <c r="AB181">
        <v>1</v>
      </c>
      <c r="AC181" s="3">
        <v>4</v>
      </c>
      <c r="AD181" t="s">
        <v>657</v>
      </c>
      <c r="AE181" s="3">
        <f t="shared" si="8"/>
        <v>1.25</v>
      </c>
      <c r="AF181" s="3">
        <f>AVERAGE(E181:U181)</f>
        <v>3</v>
      </c>
      <c r="AG181" s="3">
        <f>AVERAGEIF($C:$C, C181, $AE:$AE)</f>
        <v>1.25</v>
      </c>
      <c r="AH181" s="3">
        <f t="shared" si="7"/>
        <v>1.75</v>
      </c>
      <c r="AI181" s="3">
        <f>IF(Table1[[#This Row],[Attendance Bracket]]="&gt;75%", 1, IF(Table1[[#This Row],[Attendance Bracket]]="50-75%", 0.8, 0.6))</f>
        <v>1</v>
      </c>
      <c r="AJ181" s="3">
        <v>3</v>
      </c>
      <c r="AK181" s="3" t="s">
        <v>634</v>
      </c>
      <c r="AL181" s="3">
        <f>VLOOKUP(C181,Table14[[#All],[Department]:[Publication_count]], 2, FALSE)</f>
        <v>12</v>
      </c>
      <c r="AM181" s="3">
        <v>16.25</v>
      </c>
      <c r="AN181" s="3">
        <v>5</v>
      </c>
    </row>
    <row r="182" spans="1:40" x14ac:dyDescent="0.25">
      <c r="A182" t="s">
        <v>207</v>
      </c>
      <c r="B182" t="s">
        <v>507</v>
      </c>
      <c r="C182" t="s">
        <v>627</v>
      </c>
      <c r="D182" s="5" t="s">
        <v>660</v>
      </c>
      <c r="E182" s="3">
        <v>5</v>
      </c>
      <c r="F182" s="3">
        <v>2</v>
      </c>
      <c r="G182" s="3">
        <v>3</v>
      </c>
      <c r="H182" s="3">
        <v>4</v>
      </c>
      <c r="I182" s="3">
        <v>5</v>
      </c>
      <c r="J182" s="3">
        <v>3</v>
      </c>
      <c r="K182" t="s">
        <v>631</v>
      </c>
      <c r="L182" s="3">
        <f t="shared" si="6"/>
        <v>4</v>
      </c>
      <c r="M182" s="3">
        <v>1</v>
      </c>
      <c r="N182" s="3">
        <v>1</v>
      </c>
      <c r="O182" s="3">
        <v>5</v>
      </c>
      <c r="P182" s="3">
        <v>4</v>
      </c>
      <c r="Q182" s="3">
        <v>1</v>
      </c>
      <c r="R182" s="3">
        <v>4</v>
      </c>
      <c r="S182" s="3">
        <v>2</v>
      </c>
      <c r="T182" s="3">
        <v>4</v>
      </c>
      <c r="U182" s="3">
        <v>4</v>
      </c>
      <c r="V182" t="s">
        <v>637</v>
      </c>
      <c r="W182" t="s">
        <v>644</v>
      </c>
      <c r="X182" t="s">
        <v>649</v>
      </c>
      <c r="Y182" t="s">
        <v>651</v>
      </c>
      <c r="Z182" t="s">
        <v>655</v>
      </c>
      <c r="AA182" s="3">
        <v>7</v>
      </c>
      <c r="AB182">
        <v>1</v>
      </c>
      <c r="AC182" s="3">
        <v>3</v>
      </c>
      <c r="AD182" t="s">
        <v>657</v>
      </c>
      <c r="AE182" s="3">
        <f t="shared" si="8"/>
        <v>1.25</v>
      </c>
      <c r="AF182" s="3">
        <f>AVERAGE(E182:U182)</f>
        <v>3.25</v>
      </c>
      <c r="AG182" s="3">
        <f>AVERAGEIF($C:$C, C182, $AE:$AE)</f>
        <v>1.25</v>
      </c>
      <c r="AH182" s="3">
        <f t="shared" si="7"/>
        <v>2</v>
      </c>
      <c r="AI182" s="3">
        <f>IF(Table1[[#This Row],[Attendance Bracket]]="&gt;75%", 1, IF(Table1[[#This Row],[Attendance Bracket]]="50-75%", 0.8, 0.6))</f>
        <v>0.8</v>
      </c>
      <c r="AJ182" s="3">
        <v>2</v>
      </c>
      <c r="AK182" s="3" t="s">
        <v>684</v>
      </c>
      <c r="AL182" s="3">
        <f>VLOOKUP(C182,Table14[[#All],[Department]:[Publication_count]], 2, FALSE)</f>
        <v>5</v>
      </c>
      <c r="AM182" s="3">
        <v>6.3333333329999997</v>
      </c>
      <c r="AN182" s="3">
        <v>1.974358974</v>
      </c>
    </row>
    <row r="183" spans="1:40" x14ac:dyDescent="0.25">
      <c r="A183" t="s">
        <v>208</v>
      </c>
      <c r="B183" t="s">
        <v>508</v>
      </c>
      <c r="C183" t="s">
        <v>628</v>
      </c>
      <c r="D183" s="5" t="s">
        <v>660</v>
      </c>
      <c r="E183" s="3">
        <v>4</v>
      </c>
      <c r="F183" s="3">
        <v>3</v>
      </c>
      <c r="G183" s="3">
        <v>3</v>
      </c>
      <c r="H183" s="3">
        <v>3</v>
      </c>
      <c r="I183" s="3">
        <v>2</v>
      </c>
      <c r="J183" s="3">
        <v>5</v>
      </c>
      <c r="K183" t="s">
        <v>634</v>
      </c>
      <c r="L183" s="3">
        <f t="shared" si="6"/>
        <v>3</v>
      </c>
      <c r="M183" s="3">
        <v>4</v>
      </c>
      <c r="N183" s="3">
        <v>3</v>
      </c>
      <c r="O183" s="3">
        <v>5</v>
      </c>
      <c r="P183" s="3">
        <v>3</v>
      </c>
      <c r="Q183" s="3">
        <v>1</v>
      </c>
      <c r="R183" s="3">
        <v>3</v>
      </c>
      <c r="S183" s="3">
        <v>1</v>
      </c>
      <c r="T183" s="3">
        <v>2</v>
      </c>
      <c r="U183" s="3">
        <v>5</v>
      </c>
      <c r="V183" t="s">
        <v>638</v>
      </c>
      <c r="W183" t="s">
        <v>645</v>
      </c>
      <c r="X183" t="s">
        <v>650</v>
      </c>
      <c r="Y183" t="s">
        <v>651</v>
      </c>
      <c r="Z183" t="s">
        <v>654</v>
      </c>
      <c r="AA183" s="3">
        <v>8</v>
      </c>
      <c r="AB183">
        <v>1</v>
      </c>
      <c r="AC183" s="3">
        <v>1</v>
      </c>
      <c r="AD183" t="s">
        <v>657</v>
      </c>
      <c r="AE183" s="3">
        <f t="shared" si="8"/>
        <v>1.25</v>
      </c>
      <c r="AF183" s="3">
        <f>AVERAGE(E183:U183)</f>
        <v>3.125</v>
      </c>
      <c r="AG183" s="3">
        <f>AVERAGEIF($C:$C, C183, $AE:$AE)</f>
        <v>1.25</v>
      </c>
      <c r="AH183" s="3">
        <f t="shared" si="7"/>
        <v>1.875</v>
      </c>
      <c r="AI183" s="3">
        <f>IF(Table1[[#This Row],[Attendance Bracket]]="&gt;75%", 1, IF(Table1[[#This Row],[Attendance Bracket]]="50-75%", 0.8, 0.6))</f>
        <v>0.8</v>
      </c>
      <c r="AJ183" s="3">
        <v>3</v>
      </c>
      <c r="AK183" s="3" t="s">
        <v>634</v>
      </c>
      <c r="AL183" s="3">
        <f>VLOOKUP(C183,Table14[[#All],[Department]:[Publication_count]], 2, FALSE)</f>
        <v>12</v>
      </c>
      <c r="AM183" s="3">
        <v>16.25</v>
      </c>
      <c r="AN183" s="3">
        <v>4</v>
      </c>
    </row>
    <row r="184" spans="1:40" x14ac:dyDescent="0.25">
      <c r="A184" t="s">
        <v>209</v>
      </c>
      <c r="B184" t="s">
        <v>509</v>
      </c>
      <c r="C184" t="s">
        <v>629</v>
      </c>
      <c r="D184" s="5" t="s">
        <v>660</v>
      </c>
      <c r="E184" s="3">
        <v>4</v>
      </c>
      <c r="F184" s="3">
        <v>5</v>
      </c>
      <c r="G184" s="3">
        <v>1</v>
      </c>
      <c r="H184" s="3">
        <v>3</v>
      </c>
      <c r="I184" s="3">
        <v>4</v>
      </c>
      <c r="J184" s="3">
        <v>2</v>
      </c>
      <c r="K184" t="s">
        <v>631</v>
      </c>
      <c r="L184" s="3">
        <f t="shared" si="6"/>
        <v>4</v>
      </c>
      <c r="M184" s="3">
        <v>5</v>
      </c>
      <c r="N184" s="3">
        <v>2</v>
      </c>
      <c r="O184" s="3">
        <v>1</v>
      </c>
      <c r="P184" s="3">
        <v>4</v>
      </c>
      <c r="Q184" s="3">
        <v>1</v>
      </c>
      <c r="R184" s="3">
        <v>5</v>
      </c>
      <c r="S184" s="3">
        <v>2</v>
      </c>
      <c r="T184" s="3">
        <v>2</v>
      </c>
      <c r="U184" s="3">
        <v>4</v>
      </c>
      <c r="V184" t="s">
        <v>636</v>
      </c>
      <c r="W184" t="s">
        <v>643</v>
      </c>
      <c r="X184" t="s">
        <v>650</v>
      </c>
      <c r="Y184" t="s">
        <v>653</v>
      </c>
      <c r="Z184" t="s">
        <v>656</v>
      </c>
      <c r="AA184" s="3">
        <v>15</v>
      </c>
      <c r="AB184">
        <v>1</v>
      </c>
      <c r="AC184" s="3">
        <v>1</v>
      </c>
      <c r="AD184" t="s">
        <v>657</v>
      </c>
      <c r="AE184" s="3">
        <f t="shared" si="8"/>
        <v>1.25</v>
      </c>
      <c r="AF184" s="3">
        <f>AVERAGE(E184:U184)</f>
        <v>3.0625</v>
      </c>
      <c r="AG184" s="3">
        <f>AVERAGEIF($C:$C, C184, $AE:$AE)</f>
        <v>1.2450000000000001</v>
      </c>
      <c r="AH184" s="3">
        <f t="shared" si="7"/>
        <v>1.8174999999999999</v>
      </c>
      <c r="AI184" s="3">
        <f>IF(Table1[[#This Row],[Attendance Bracket]]="&gt;75%", 1, IF(Table1[[#This Row],[Attendance Bracket]]="50-75%", 0.8, 0.6))</f>
        <v>1</v>
      </c>
      <c r="AJ184" s="3">
        <v>2</v>
      </c>
      <c r="AK184" s="3" t="s">
        <v>684</v>
      </c>
      <c r="AL184" s="3">
        <f>VLOOKUP(C184,Table14[[#All],[Department]:[Publication_count]], 2, FALSE)</f>
        <v>3</v>
      </c>
      <c r="AM184" s="3">
        <v>4.6666666670000003</v>
      </c>
      <c r="AN184" s="3">
        <v>3.2179487180000002</v>
      </c>
    </row>
    <row r="185" spans="1:40" x14ac:dyDescent="0.25">
      <c r="A185" t="s">
        <v>210</v>
      </c>
      <c r="B185" t="s">
        <v>510</v>
      </c>
      <c r="C185" t="s">
        <v>629</v>
      </c>
      <c r="D185" s="5" t="s">
        <v>660</v>
      </c>
      <c r="E185" s="3">
        <v>5</v>
      </c>
      <c r="F185" s="3">
        <v>3</v>
      </c>
      <c r="G185" s="3">
        <v>2</v>
      </c>
      <c r="H185" s="3">
        <v>2</v>
      </c>
      <c r="I185" s="3">
        <v>1</v>
      </c>
      <c r="J185" s="3">
        <v>1</v>
      </c>
      <c r="K185" t="s">
        <v>631</v>
      </c>
      <c r="L185" s="3">
        <f t="shared" si="6"/>
        <v>4</v>
      </c>
      <c r="M185" s="3">
        <v>5</v>
      </c>
      <c r="N185" s="3">
        <v>3</v>
      </c>
      <c r="O185" s="3">
        <v>3</v>
      </c>
      <c r="P185" s="3">
        <v>4</v>
      </c>
      <c r="Q185" s="3">
        <v>4</v>
      </c>
      <c r="R185" s="3">
        <v>5</v>
      </c>
      <c r="S185" s="3">
        <v>2</v>
      </c>
      <c r="T185" s="3">
        <v>2</v>
      </c>
      <c r="U185" s="3">
        <v>1</v>
      </c>
      <c r="V185" t="s">
        <v>638</v>
      </c>
      <c r="W185" t="s">
        <v>641</v>
      </c>
      <c r="X185" t="s">
        <v>650</v>
      </c>
      <c r="Y185" t="s">
        <v>653</v>
      </c>
      <c r="Z185" t="s">
        <v>656</v>
      </c>
      <c r="AA185" s="3">
        <v>17</v>
      </c>
      <c r="AB185">
        <v>1</v>
      </c>
      <c r="AC185" s="3">
        <v>1</v>
      </c>
      <c r="AD185" t="s">
        <v>657</v>
      </c>
      <c r="AE185" s="3">
        <f t="shared" si="8"/>
        <v>1.25</v>
      </c>
      <c r="AF185" s="3">
        <f>AVERAGE(E185:U185)</f>
        <v>2.9375</v>
      </c>
      <c r="AG185" s="3">
        <f>AVERAGEIF($C:$C, C185, $AE:$AE)</f>
        <v>1.2450000000000001</v>
      </c>
      <c r="AH185" s="3">
        <f t="shared" si="7"/>
        <v>1.6924999999999999</v>
      </c>
      <c r="AI185" s="3">
        <f>IF(Table1[[#This Row],[Attendance Bracket]]="&gt;75%", 1, IF(Table1[[#This Row],[Attendance Bracket]]="50-75%", 0.8, 0.6))</f>
        <v>1</v>
      </c>
      <c r="AJ185" s="3">
        <v>2</v>
      </c>
      <c r="AK185" s="3" t="s">
        <v>684</v>
      </c>
      <c r="AL185" s="3">
        <f>VLOOKUP(C185,Table14[[#All],[Department]:[Publication_count]], 2, FALSE)</f>
        <v>3</v>
      </c>
      <c r="AM185" s="3">
        <v>4.6666666670000003</v>
      </c>
      <c r="AN185" s="3">
        <v>2.2179487180000002</v>
      </c>
    </row>
    <row r="186" spans="1:40" x14ac:dyDescent="0.25">
      <c r="A186" t="s">
        <v>211</v>
      </c>
      <c r="B186" t="s">
        <v>511</v>
      </c>
      <c r="C186" t="s">
        <v>627</v>
      </c>
      <c r="D186" s="5" t="s">
        <v>659</v>
      </c>
      <c r="E186" s="3">
        <v>5</v>
      </c>
      <c r="F186" s="3">
        <v>2</v>
      </c>
      <c r="G186" s="3">
        <v>1</v>
      </c>
      <c r="H186" s="3">
        <v>3</v>
      </c>
      <c r="I186" s="3">
        <v>1</v>
      </c>
      <c r="J186" s="3">
        <v>4</v>
      </c>
      <c r="K186" t="s">
        <v>635</v>
      </c>
      <c r="L186" s="3">
        <f t="shared" si="6"/>
        <v>5</v>
      </c>
      <c r="M186" s="3">
        <v>4</v>
      </c>
      <c r="N186" s="3">
        <v>4</v>
      </c>
      <c r="O186" s="3">
        <v>1</v>
      </c>
      <c r="P186" s="3">
        <v>5</v>
      </c>
      <c r="Q186" s="3">
        <v>4</v>
      </c>
      <c r="R186" s="3">
        <v>5</v>
      </c>
      <c r="S186" s="3">
        <v>1</v>
      </c>
      <c r="T186" s="3">
        <v>4</v>
      </c>
      <c r="U186" s="3">
        <v>5</v>
      </c>
      <c r="V186" t="s">
        <v>638</v>
      </c>
      <c r="W186" t="s">
        <v>642</v>
      </c>
      <c r="X186" t="s">
        <v>649</v>
      </c>
      <c r="Y186" t="s">
        <v>653</v>
      </c>
      <c r="Z186" t="s">
        <v>654</v>
      </c>
      <c r="AA186" s="3">
        <v>10</v>
      </c>
      <c r="AB186">
        <v>0</v>
      </c>
      <c r="AC186" s="3">
        <v>1</v>
      </c>
      <c r="AD186" t="s">
        <v>657</v>
      </c>
      <c r="AE186" s="3">
        <f t="shared" si="8"/>
        <v>1.25</v>
      </c>
      <c r="AF186" s="3">
        <f>AVERAGE(E186:U186)</f>
        <v>3.375</v>
      </c>
      <c r="AG186" s="3">
        <f>AVERAGEIF($C:$C, C186, $AE:$AE)</f>
        <v>1.25</v>
      </c>
      <c r="AH186" s="3">
        <f t="shared" si="7"/>
        <v>2.125</v>
      </c>
      <c r="AI186" s="3">
        <f>IF(Table1[[#This Row],[Attendance Bracket]]="&gt;75%", 1, IF(Table1[[#This Row],[Attendance Bracket]]="50-75%", 0.8, 0.6))</f>
        <v>1</v>
      </c>
      <c r="AJ186" s="3">
        <v>1</v>
      </c>
      <c r="AK186" s="3" t="s">
        <v>684</v>
      </c>
      <c r="AL186" s="3">
        <f>VLOOKUP(C186,Table14[[#All],[Department]:[Publication_count]], 2, FALSE)</f>
        <v>5</v>
      </c>
      <c r="AM186" s="3">
        <v>6.3333333329999997</v>
      </c>
      <c r="AN186" s="3">
        <v>1.974358974</v>
      </c>
    </row>
    <row r="187" spans="1:40" x14ac:dyDescent="0.25">
      <c r="A187" t="s">
        <v>212</v>
      </c>
      <c r="B187" t="s">
        <v>512</v>
      </c>
      <c r="C187" t="s">
        <v>627</v>
      </c>
      <c r="D187" s="5" t="s">
        <v>659</v>
      </c>
      <c r="E187" s="3">
        <v>2</v>
      </c>
      <c r="F187" s="3">
        <v>1</v>
      </c>
      <c r="G187" s="3">
        <v>3</v>
      </c>
      <c r="H187" s="3">
        <v>2</v>
      </c>
      <c r="I187" s="3">
        <v>4</v>
      </c>
      <c r="J187" s="3">
        <v>4</v>
      </c>
      <c r="K187" t="s">
        <v>634</v>
      </c>
      <c r="L187" s="3">
        <f t="shared" si="6"/>
        <v>3</v>
      </c>
      <c r="M187" s="3">
        <v>1</v>
      </c>
      <c r="N187" s="3">
        <v>3</v>
      </c>
      <c r="O187" s="3">
        <v>2</v>
      </c>
      <c r="P187" s="3">
        <v>4</v>
      </c>
      <c r="Q187" s="3">
        <v>3</v>
      </c>
      <c r="R187" s="3">
        <v>2</v>
      </c>
      <c r="S187" s="3">
        <v>2</v>
      </c>
      <c r="T187" s="3">
        <v>4</v>
      </c>
      <c r="U187" s="3">
        <v>4</v>
      </c>
      <c r="V187" t="s">
        <v>636</v>
      </c>
      <c r="W187" t="s">
        <v>645</v>
      </c>
      <c r="X187" t="s">
        <v>647</v>
      </c>
      <c r="Y187" t="s">
        <v>651</v>
      </c>
      <c r="Z187" t="s">
        <v>655</v>
      </c>
      <c r="AA187" s="3">
        <v>14</v>
      </c>
      <c r="AB187">
        <v>1</v>
      </c>
      <c r="AC187" s="3">
        <v>4</v>
      </c>
      <c r="AD187" t="s">
        <v>657</v>
      </c>
      <c r="AE187" s="3">
        <f t="shared" si="8"/>
        <v>1.25</v>
      </c>
      <c r="AF187" s="3">
        <f>AVERAGE(E187:U187)</f>
        <v>2.75</v>
      </c>
      <c r="AG187" s="3">
        <f>AVERAGEIF($C:$C, C187, $AE:$AE)</f>
        <v>1.25</v>
      </c>
      <c r="AH187" s="3">
        <f t="shared" si="7"/>
        <v>1.5</v>
      </c>
      <c r="AI187" s="3">
        <f>IF(Table1[[#This Row],[Attendance Bracket]]="&gt;75%", 1, IF(Table1[[#This Row],[Attendance Bracket]]="50-75%", 0.8, 0.6))</f>
        <v>0.8</v>
      </c>
      <c r="AJ187" s="3">
        <v>3</v>
      </c>
      <c r="AK187" s="3" t="s">
        <v>634</v>
      </c>
      <c r="AL187" s="3">
        <f>VLOOKUP(C187,Table14[[#All],[Department]:[Publication_count]], 2, FALSE)</f>
        <v>5</v>
      </c>
      <c r="AM187" s="3">
        <v>6.3333333329999997</v>
      </c>
      <c r="AN187" s="3">
        <v>1.474358974</v>
      </c>
    </row>
    <row r="188" spans="1:40" x14ac:dyDescent="0.25">
      <c r="A188" t="s">
        <v>213</v>
      </c>
      <c r="B188" t="s">
        <v>513</v>
      </c>
      <c r="C188" t="s">
        <v>629</v>
      </c>
      <c r="D188" s="5" t="s">
        <v>660</v>
      </c>
      <c r="E188" s="3">
        <v>5</v>
      </c>
      <c r="F188" s="3">
        <v>3</v>
      </c>
      <c r="G188" s="3">
        <v>5</v>
      </c>
      <c r="H188" s="3">
        <v>4</v>
      </c>
      <c r="I188" s="3">
        <v>4</v>
      </c>
      <c r="J188" s="3">
        <v>5</v>
      </c>
      <c r="K188" t="s">
        <v>635</v>
      </c>
      <c r="L188" s="3">
        <f t="shared" si="6"/>
        <v>5</v>
      </c>
      <c r="M188" s="3">
        <v>5</v>
      </c>
      <c r="N188" s="3">
        <v>5</v>
      </c>
      <c r="O188" s="3">
        <v>1</v>
      </c>
      <c r="P188" s="3">
        <v>3</v>
      </c>
      <c r="Q188" s="3">
        <v>5</v>
      </c>
      <c r="R188" s="3">
        <v>3</v>
      </c>
      <c r="S188" s="3">
        <v>2</v>
      </c>
      <c r="T188" s="3">
        <v>2</v>
      </c>
      <c r="U188" s="3">
        <v>3</v>
      </c>
      <c r="V188" t="s">
        <v>637</v>
      </c>
      <c r="W188" t="s">
        <v>641</v>
      </c>
      <c r="X188" t="s">
        <v>649</v>
      </c>
      <c r="Y188" t="s">
        <v>651</v>
      </c>
      <c r="Z188" t="s">
        <v>654</v>
      </c>
      <c r="AA188" s="3">
        <v>12</v>
      </c>
      <c r="AB188">
        <v>0</v>
      </c>
      <c r="AC188" s="3">
        <v>2</v>
      </c>
      <c r="AD188" t="s">
        <v>657</v>
      </c>
      <c r="AE188" s="3">
        <f>IF(AE190, 1.25, 1)</f>
        <v>1.25</v>
      </c>
      <c r="AF188" s="3">
        <f>AVERAGE(E188:U188)</f>
        <v>3.75</v>
      </c>
      <c r="AG188" s="3">
        <f>AVERAGEIF($C:$C, C188, $AE:$AE)</f>
        <v>1.2450000000000001</v>
      </c>
      <c r="AH188" s="3">
        <f t="shared" si="7"/>
        <v>2.5049999999999999</v>
      </c>
      <c r="AI188" s="3">
        <f>IF(Table1[[#This Row],[Attendance Bracket]]="&gt;75%", 1, IF(Table1[[#This Row],[Attendance Bracket]]="50-75%", 0.8, 0.6))</f>
        <v>0.8</v>
      </c>
      <c r="AJ188" s="3">
        <v>2</v>
      </c>
      <c r="AK188" s="3" t="s">
        <v>684</v>
      </c>
      <c r="AL188" s="3">
        <f>VLOOKUP(C188,Table14[[#All],[Department]:[Publication_count]], 2, FALSE)</f>
        <v>3</v>
      </c>
      <c r="AM188" s="3">
        <v>4.6666666670000003</v>
      </c>
      <c r="AN188" s="3">
        <v>2.2179487180000002</v>
      </c>
    </row>
    <row r="189" spans="1:40" x14ac:dyDescent="0.25">
      <c r="A189" t="s">
        <v>214</v>
      </c>
      <c r="B189" t="s">
        <v>514</v>
      </c>
      <c r="C189" t="s">
        <v>629</v>
      </c>
      <c r="D189" s="5" t="s">
        <v>630</v>
      </c>
      <c r="E189" s="3">
        <v>2</v>
      </c>
      <c r="F189" s="3">
        <v>2</v>
      </c>
      <c r="G189" s="3">
        <v>2</v>
      </c>
      <c r="H189" s="3">
        <v>3</v>
      </c>
      <c r="I189" s="3">
        <v>4</v>
      </c>
      <c r="J189" s="3">
        <v>4</v>
      </c>
      <c r="K189" t="s">
        <v>631</v>
      </c>
      <c r="L189" s="3">
        <f t="shared" si="6"/>
        <v>4</v>
      </c>
      <c r="M189" s="3">
        <v>3</v>
      </c>
      <c r="N189" s="3">
        <v>5</v>
      </c>
      <c r="O189" s="3">
        <v>3</v>
      </c>
      <c r="P189" s="3">
        <v>2</v>
      </c>
      <c r="Q189" s="3">
        <v>3</v>
      </c>
      <c r="R189" s="3">
        <v>5</v>
      </c>
      <c r="S189" s="3">
        <v>3</v>
      </c>
      <c r="T189" s="3">
        <v>1</v>
      </c>
      <c r="U189" s="3">
        <v>3</v>
      </c>
      <c r="V189" t="s">
        <v>640</v>
      </c>
      <c r="W189" t="s">
        <v>643</v>
      </c>
      <c r="X189" t="s">
        <v>647</v>
      </c>
      <c r="Y189" t="s">
        <v>651</v>
      </c>
      <c r="Z189" t="s">
        <v>655</v>
      </c>
      <c r="AA189" s="3">
        <v>10</v>
      </c>
      <c r="AB189">
        <v>1</v>
      </c>
      <c r="AC189" s="3">
        <v>4</v>
      </c>
      <c r="AD189" t="s">
        <v>657</v>
      </c>
      <c r="AE189" s="3">
        <f>IF(AE191, 1.25, 1)</f>
        <v>1.25</v>
      </c>
      <c r="AF189" s="3">
        <f>AVERAGE(E189:U189)</f>
        <v>3.0625</v>
      </c>
      <c r="AG189" s="3">
        <f>AVERAGEIF($C:$C, C189, $AE:$AE)</f>
        <v>1.2450000000000001</v>
      </c>
      <c r="AH189" s="3">
        <f t="shared" si="7"/>
        <v>1.8174999999999999</v>
      </c>
      <c r="AI189" s="3">
        <f>IF(Table1[[#This Row],[Attendance Bracket]]="&gt;75%", 1, IF(Table1[[#This Row],[Attendance Bracket]]="50-75%", 0.8, 0.6))</f>
        <v>0.8</v>
      </c>
      <c r="AJ189" s="3">
        <v>2</v>
      </c>
      <c r="AK189" s="3" t="s">
        <v>684</v>
      </c>
      <c r="AL189" s="3">
        <f>VLOOKUP(C189,Table14[[#All],[Department]:[Publication_count]], 2, FALSE)</f>
        <v>3</v>
      </c>
      <c r="AM189" s="3">
        <v>4.6666666670000003</v>
      </c>
      <c r="AN189" s="3">
        <v>1.7179487179999999</v>
      </c>
    </row>
    <row r="190" spans="1:40" x14ac:dyDescent="0.25">
      <c r="A190" t="s">
        <v>215</v>
      </c>
      <c r="B190" t="s">
        <v>515</v>
      </c>
      <c r="C190" t="s">
        <v>628</v>
      </c>
      <c r="D190" s="5" t="s">
        <v>659</v>
      </c>
      <c r="E190" s="3">
        <v>4</v>
      </c>
      <c r="F190" s="3">
        <v>4</v>
      </c>
      <c r="G190" s="3">
        <v>5</v>
      </c>
      <c r="H190" s="3">
        <v>2</v>
      </c>
      <c r="I190" s="3">
        <v>3</v>
      </c>
      <c r="J190" s="3">
        <v>3</v>
      </c>
      <c r="K190" t="s">
        <v>632</v>
      </c>
      <c r="L190" s="3">
        <f t="shared" si="6"/>
        <v>1</v>
      </c>
      <c r="M190" s="3">
        <v>3</v>
      </c>
      <c r="N190" s="3">
        <v>4</v>
      </c>
      <c r="O190" s="3">
        <v>5</v>
      </c>
      <c r="P190" s="3">
        <v>5</v>
      </c>
      <c r="Q190" s="3">
        <v>5</v>
      </c>
      <c r="R190" s="3">
        <v>3</v>
      </c>
      <c r="S190" s="3">
        <v>3</v>
      </c>
      <c r="T190" s="3">
        <v>3</v>
      </c>
      <c r="U190" s="3">
        <v>1</v>
      </c>
      <c r="V190" t="s">
        <v>638</v>
      </c>
      <c r="W190" t="s">
        <v>641</v>
      </c>
      <c r="X190" t="s">
        <v>646</v>
      </c>
      <c r="Y190" t="s">
        <v>653</v>
      </c>
      <c r="Z190" t="s">
        <v>654</v>
      </c>
      <c r="AA190" s="4">
        <v>5</v>
      </c>
      <c r="AB190">
        <v>1</v>
      </c>
      <c r="AC190" s="3">
        <v>3</v>
      </c>
      <c r="AD190" t="s">
        <v>657</v>
      </c>
      <c r="AE190" s="3">
        <f t="shared" si="8"/>
        <v>1.25</v>
      </c>
      <c r="AF190" s="3">
        <f>AVERAGE(E190:U190)</f>
        <v>3.375</v>
      </c>
      <c r="AG190" s="3">
        <f>AVERAGEIF($C:$C, C190, $AE:$AE)</f>
        <v>1.25</v>
      </c>
      <c r="AH190" s="3">
        <f t="shared" si="7"/>
        <v>2.125</v>
      </c>
      <c r="AI190" s="3">
        <f>IF(Table1[[#This Row],[Attendance Bracket]]="&gt;75%", 1, IF(Table1[[#This Row],[Attendance Bracket]]="50-75%", 0.8, 0.6))</f>
        <v>1</v>
      </c>
      <c r="AJ190" s="3">
        <v>2</v>
      </c>
      <c r="AK190" s="3" t="s">
        <v>684</v>
      </c>
      <c r="AL190" s="3">
        <f>VLOOKUP(C190,Table14[[#All],[Department]:[Publication_count]], 2, FALSE)</f>
        <v>12</v>
      </c>
      <c r="AM190" s="3">
        <v>16.25</v>
      </c>
      <c r="AN190" s="3">
        <v>4.5</v>
      </c>
    </row>
    <row r="191" spans="1:40" x14ac:dyDescent="0.25">
      <c r="A191" t="s">
        <v>216</v>
      </c>
      <c r="B191" t="s">
        <v>516</v>
      </c>
      <c r="C191" t="s">
        <v>629</v>
      </c>
      <c r="D191" s="5" t="s">
        <v>659</v>
      </c>
      <c r="E191" s="3">
        <v>2</v>
      </c>
      <c r="F191" s="3">
        <v>1</v>
      </c>
      <c r="G191" s="3">
        <v>2</v>
      </c>
      <c r="H191" s="3">
        <v>5</v>
      </c>
      <c r="I191" s="3">
        <v>5</v>
      </c>
      <c r="J191" s="3">
        <v>3</v>
      </c>
      <c r="K191" t="s">
        <v>631</v>
      </c>
      <c r="L191" s="3">
        <f t="shared" si="6"/>
        <v>4</v>
      </c>
      <c r="M191" s="3">
        <v>2</v>
      </c>
      <c r="N191" s="3">
        <v>4</v>
      </c>
      <c r="O191" s="3">
        <v>2</v>
      </c>
      <c r="P191" s="3">
        <v>1</v>
      </c>
      <c r="Q191" s="3">
        <v>5</v>
      </c>
      <c r="R191" s="3">
        <v>1</v>
      </c>
      <c r="S191" s="3">
        <v>5</v>
      </c>
      <c r="T191" s="3">
        <v>3</v>
      </c>
      <c r="U191" s="3">
        <v>1</v>
      </c>
      <c r="V191" t="s">
        <v>636</v>
      </c>
      <c r="W191" t="s">
        <v>642</v>
      </c>
      <c r="X191" t="s">
        <v>649</v>
      </c>
      <c r="Y191" t="s">
        <v>653</v>
      </c>
      <c r="Z191" t="s">
        <v>654</v>
      </c>
      <c r="AA191" s="3">
        <v>11</v>
      </c>
      <c r="AB191">
        <v>1</v>
      </c>
      <c r="AC191" s="3">
        <v>1</v>
      </c>
      <c r="AD191" t="s">
        <v>657</v>
      </c>
      <c r="AE191" s="3">
        <f t="shared" si="8"/>
        <v>1.25</v>
      </c>
      <c r="AF191" s="3">
        <f>AVERAGE(E191:U191)</f>
        <v>2.875</v>
      </c>
      <c r="AG191" s="3">
        <f>AVERAGEIF($C:$C, C191, $AE:$AE)</f>
        <v>1.2450000000000001</v>
      </c>
      <c r="AH191" s="3">
        <f t="shared" si="7"/>
        <v>1.63</v>
      </c>
      <c r="AI191" s="3">
        <f>IF(Table1[[#This Row],[Attendance Bracket]]="&gt;75%", 1, IF(Table1[[#This Row],[Attendance Bracket]]="50-75%", 0.8, 0.6))</f>
        <v>1</v>
      </c>
      <c r="AJ191" s="3">
        <v>1</v>
      </c>
      <c r="AK191" s="3" t="s">
        <v>684</v>
      </c>
      <c r="AL191" s="3">
        <f>VLOOKUP(C191,Table14[[#All],[Department]:[Publication_count]], 2, FALSE)</f>
        <v>3</v>
      </c>
      <c r="AM191" s="3">
        <v>4.6666666670000003</v>
      </c>
      <c r="AN191" s="3">
        <v>1.2179487179999999</v>
      </c>
    </row>
    <row r="192" spans="1:40" x14ac:dyDescent="0.25">
      <c r="A192" t="s">
        <v>217</v>
      </c>
      <c r="B192" t="s">
        <v>517</v>
      </c>
      <c r="C192" t="s">
        <v>627</v>
      </c>
      <c r="D192" s="5" t="s">
        <v>630</v>
      </c>
      <c r="E192" s="3">
        <v>2</v>
      </c>
      <c r="F192" s="3">
        <v>2</v>
      </c>
      <c r="G192" s="3">
        <v>2</v>
      </c>
      <c r="H192" s="3">
        <v>2</v>
      </c>
      <c r="I192" s="3">
        <v>2</v>
      </c>
      <c r="J192" s="3">
        <v>5</v>
      </c>
      <c r="K192" t="s">
        <v>631</v>
      </c>
      <c r="L192" s="3">
        <f t="shared" si="6"/>
        <v>4</v>
      </c>
      <c r="M192" s="3">
        <v>2</v>
      </c>
      <c r="N192" s="3">
        <v>4</v>
      </c>
      <c r="O192" s="3">
        <v>2</v>
      </c>
      <c r="P192" s="3">
        <v>3</v>
      </c>
      <c r="Q192" s="3">
        <v>4</v>
      </c>
      <c r="R192" s="3">
        <v>3</v>
      </c>
      <c r="S192" s="3">
        <v>5</v>
      </c>
      <c r="T192" s="3">
        <v>1</v>
      </c>
      <c r="U192" s="3">
        <v>2</v>
      </c>
      <c r="V192" t="s">
        <v>637</v>
      </c>
      <c r="W192" t="s">
        <v>641</v>
      </c>
      <c r="X192" t="s">
        <v>648</v>
      </c>
      <c r="Y192" t="s">
        <v>651</v>
      </c>
      <c r="Z192" t="s">
        <v>655</v>
      </c>
      <c r="AA192" s="3">
        <v>19</v>
      </c>
      <c r="AB192">
        <v>1</v>
      </c>
      <c r="AC192" s="3">
        <v>3</v>
      </c>
      <c r="AD192" t="s">
        <v>657</v>
      </c>
      <c r="AE192" s="3">
        <f t="shared" si="8"/>
        <v>1.25</v>
      </c>
      <c r="AF192" s="3">
        <f>AVERAGE(E192:U192)</f>
        <v>2.8125</v>
      </c>
      <c r="AG192" s="3">
        <f>AVERAGEIF($C:$C, C192, $AE:$AE)</f>
        <v>1.25</v>
      </c>
      <c r="AH192" s="3">
        <f t="shared" si="7"/>
        <v>1.5625</v>
      </c>
      <c r="AI192" s="3">
        <f>IF(Table1[[#This Row],[Attendance Bracket]]="&gt;75%", 1, IF(Table1[[#This Row],[Attendance Bracket]]="50-75%", 0.8, 0.6))</f>
        <v>0.8</v>
      </c>
      <c r="AJ192" s="3">
        <v>2</v>
      </c>
      <c r="AK192" s="3" t="s">
        <v>684</v>
      </c>
      <c r="AL192" s="3">
        <f>VLOOKUP(C192,Table14[[#All],[Department]:[Publication_count]], 2, FALSE)</f>
        <v>5</v>
      </c>
      <c r="AM192" s="3">
        <v>6.3333333329999997</v>
      </c>
      <c r="AN192" s="3">
        <v>1.974358974</v>
      </c>
    </row>
    <row r="193" spans="1:40" x14ac:dyDescent="0.25">
      <c r="A193" t="s">
        <v>218</v>
      </c>
      <c r="B193" t="s">
        <v>518</v>
      </c>
      <c r="C193" t="s">
        <v>627</v>
      </c>
      <c r="D193" s="5" t="s">
        <v>660</v>
      </c>
      <c r="E193" s="3">
        <v>3</v>
      </c>
      <c r="F193" s="3">
        <v>5</v>
      </c>
      <c r="G193" s="3">
        <v>4</v>
      </c>
      <c r="H193" s="3">
        <v>3</v>
      </c>
      <c r="I193" s="3">
        <v>1</v>
      </c>
      <c r="J193" s="3">
        <v>3</v>
      </c>
      <c r="K193" t="s">
        <v>632</v>
      </c>
      <c r="L193" s="3">
        <f t="shared" si="6"/>
        <v>1</v>
      </c>
      <c r="M193" s="3">
        <v>1</v>
      </c>
      <c r="N193" s="3">
        <v>5</v>
      </c>
      <c r="O193" s="3">
        <v>2</v>
      </c>
      <c r="P193" s="3">
        <v>3</v>
      </c>
      <c r="Q193" s="3">
        <v>1</v>
      </c>
      <c r="R193" s="3">
        <v>2</v>
      </c>
      <c r="S193" s="3">
        <v>2</v>
      </c>
      <c r="T193" s="3">
        <v>4</v>
      </c>
      <c r="U193" s="3">
        <v>5</v>
      </c>
      <c r="V193" t="s">
        <v>640</v>
      </c>
      <c r="W193" t="s">
        <v>642</v>
      </c>
      <c r="X193" t="s">
        <v>647</v>
      </c>
      <c r="Y193" t="s">
        <v>652</v>
      </c>
      <c r="Z193" t="s">
        <v>654</v>
      </c>
      <c r="AA193" s="3">
        <v>12</v>
      </c>
      <c r="AB193">
        <v>0</v>
      </c>
      <c r="AC193" s="3">
        <v>4</v>
      </c>
      <c r="AD193" t="s">
        <v>657</v>
      </c>
      <c r="AE193" s="3">
        <f t="shared" si="8"/>
        <v>1.25</v>
      </c>
      <c r="AF193" s="3">
        <f>AVERAGE(E193:U193)</f>
        <v>2.8125</v>
      </c>
      <c r="AG193" s="3">
        <f>AVERAGEIF($C:$C, C193, $AE:$AE)</f>
        <v>1.25</v>
      </c>
      <c r="AH193" s="3">
        <f t="shared" si="7"/>
        <v>1.5625</v>
      </c>
      <c r="AI193" s="3">
        <f>IF(Table1[[#This Row],[Attendance Bracket]]="&gt;75%", 1, IF(Table1[[#This Row],[Attendance Bracket]]="50-75%", 0.8, 0.6))</f>
        <v>0.6</v>
      </c>
      <c r="AJ193" s="3">
        <v>1</v>
      </c>
      <c r="AK193" s="3" t="s">
        <v>684</v>
      </c>
      <c r="AL193" s="3">
        <f>VLOOKUP(C193,Table14[[#All],[Department]:[Publication_count]], 2, FALSE)</f>
        <v>5</v>
      </c>
      <c r="AM193" s="3">
        <v>6.3333333329999997</v>
      </c>
      <c r="AN193" s="3">
        <v>3.4743589739999998</v>
      </c>
    </row>
    <row r="194" spans="1:40" x14ac:dyDescent="0.25">
      <c r="A194" t="s">
        <v>219</v>
      </c>
      <c r="B194" t="s">
        <v>519</v>
      </c>
      <c r="C194" t="s">
        <v>627</v>
      </c>
      <c r="D194" s="5" t="s">
        <v>660</v>
      </c>
      <c r="E194" s="3">
        <v>5</v>
      </c>
      <c r="F194" s="3">
        <v>3</v>
      </c>
      <c r="G194" s="3">
        <v>2</v>
      </c>
      <c r="H194" s="3">
        <v>3</v>
      </c>
      <c r="I194" s="3">
        <v>2</v>
      </c>
      <c r="J194" s="3">
        <v>1</v>
      </c>
      <c r="K194" t="s">
        <v>631</v>
      </c>
      <c r="L194" s="3">
        <f t="shared" ref="L194:L257" si="9">IF(TRIM(K194)="Strongly Agree", 5, IF(TRIM(K194)="Agree", 4, IF(TRIM(K194)="Neutral", 3, IF(TRIM(K194)="Disagree", 2, IF(TRIM(K194)="Strongly Disagree", 1, 0)))))</f>
        <v>4</v>
      </c>
      <c r="M194" s="3">
        <v>2</v>
      </c>
      <c r="N194" s="3">
        <v>1</v>
      </c>
      <c r="O194" s="3">
        <v>5</v>
      </c>
      <c r="P194" s="3">
        <v>4</v>
      </c>
      <c r="Q194" s="3">
        <v>3</v>
      </c>
      <c r="R194" s="3">
        <v>2</v>
      </c>
      <c r="S194" s="3">
        <v>2</v>
      </c>
      <c r="T194" s="3">
        <v>1</v>
      </c>
      <c r="U194" s="3">
        <v>4</v>
      </c>
      <c r="V194" t="s">
        <v>636</v>
      </c>
      <c r="W194" t="s">
        <v>642</v>
      </c>
      <c r="X194" t="s">
        <v>649</v>
      </c>
      <c r="Y194" t="s">
        <v>652</v>
      </c>
      <c r="Z194" t="s">
        <v>656</v>
      </c>
      <c r="AA194" s="3">
        <v>17</v>
      </c>
      <c r="AB194">
        <v>0</v>
      </c>
      <c r="AC194" s="3">
        <v>5</v>
      </c>
      <c r="AD194" t="s">
        <v>657</v>
      </c>
      <c r="AE194" s="3">
        <f t="shared" si="8"/>
        <v>1.25</v>
      </c>
      <c r="AF194" s="3">
        <f>AVERAGE(E194:U194)</f>
        <v>2.75</v>
      </c>
      <c r="AG194" s="3">
        <f>AVERAGEIF($C:$C, C194, $AE:$AE)</f>
        <v>1.25</v>
      </c>
      <c r="AH194" s="3">
        <f t="shared" ref="AH194:AH257" si="10">AF194- AG194</f>
        <v>1.5</v>
      </c>
      <c r="AI194" s="3">
        <f>IF(Table1[[#This Row],[Attendance Bracket]]="&gt;75%", 1, IF(Table1[[#This Row],[Attendance Bracket]]="50-75%", 0.8, 0.6))</f>
        <v>0.6</v>
      </c>
      <c r="AJ194" s="3">
        <v>1</v>
      </c>
      <c r="AK194" s="3" t="s">
        <v>684</v>
      </c>
      <c r="AL194" s="3">
        <f>VLOOKUP(C194,Table14[[#All],[Department]:[Publication_count]], 2, FALSE)</f>
        <v>5</v>
      </c>
      <c r="AM194" s="3">
        <v>6.3333333329999997</v>
      </c>
      <c r="AN194" s="3">
        <v>2.4743589739999998</v>
      </c>
    </row>
    <row r="195" spans="1:40" x14ac:dyDescent="0.25">
      <c r="A195" t="s">
        <v>220</v>
      </c>
      <c r="B195" t="s">
        <v>520</v>
      </c>
      <c r="C195" t="s">
        <v>629</v>
      </c>
      <c r="D195" s="5" t="s">
        <v>630</v>
      </c>
      <c r="E195" s="3">
        <v>4</v>
      </c>
      <c r="F195" s="3">
        <v>1</v>
      </c>
      <c r="G195" s="3">
        <v>3</v>
      </c>
      <c r="H195" s="3">
        <v>5</v>
      </c>
      <c r="I195" s="3">
        <v>2</v>
      </c>
      <c r="J195" s="3">
        <v>5</v>
      </c>
      <c r="K195" t="s">
        <v>634</v>
      </c>
      <c r="L195" s="3">
        <f t="shared" si="9"/>
        <v>3</v>
      </c>
      <c r="M195" s="3">
        <v>1</v>
      </c>
      <c r="N195" s="3">
        <v>3</v>
      </c>
      <c r="O195" s="3">
        <v>1</v>
      </c>
      <c r="P195" s="3">
        <v>4</v>
      </c>
      <c r="Q195" s="3">
        <v>2</v>
      </c>
      <c r="R195" s="3">
        <v>2</v>
      </c>
      <c r="S195" s="3">
        <v>5</v>
      </c>
      <c r="T195" s="3">
        <v>4</v>
      </c>
      <c r="U195" s="3">
        <v>1</v>
      </c>
      <c r="V195" t="s">
        <v>639</v>
      </c>
      <c r="W195" t="s">
        <v>643</v>
      </c>
      <c r="X195" t="s">
        <v>648</v>
      </c>
      <c r="Y195" t="s">
        <v>652</v>
      </c>
      <c r="Z195" t="s">
        <v>655</v>
      </c>
      <c r="AA195" s="3">
        <v>19</v>
      </c>
      <c r="AB195">
        <v>0</v>
      </c>
      <c r="AC195" s="3">
        <v>1</v>
      </c>
      <c r="AD195" t="s">
        <v>657</v>
      </c>
      <c r="AE195" s="3">
        <f t="shared" si="8"/>
        <v>1.25</v>
      </c>
      <c r="AF195" s="3">
        <f>AVERAGE(E195:U195)</f>
        <v>2.875</v>
      </c>
      <c r="AG195" s="3">
        <f>AVERAGEIF($C:$C, C195, $AE:$AE)</f>
        <v>1.2450000000000001</v>
      </c>
      <c r="AH195" s="3">
        <f t="shared" si="10"/>
        <v>1.63</v>
      </c>
      <c r="AI195" s="3">
        <f>IF(Table1[[#This Row],[Attendance Bracket]]="&gt;75%", 1, IF(Table1[[#This Row],[Attendance Bracket]]="50-75%", 0.8, 0.6))</f>
        <v>0.6</v>
      </c>
      <c r="AJ195" s="3">
        <v>2</v>
      </c>
      <c r="AK195" s="3" t="s">
        <v>684</v>
      </c>
      <c r="AL195" s="3">
        <f>VLOOKUP(C195,Table14[[#All],[Department]:[Publication_count]], 2, FALSE)</f>
        <v>3</v>
      </c>
      <c r="AM195" s="3">
        <v>4.6666666670000003</v>
      </c>
      <c r="AN195" s="3">
        <v>1.2179487179999999</v>
      </c>
    </row>
    <row r="196" spans="1:40" x14ac:dyDescent="0.25">
      <c r="A196" t="s">
        <v>221</v>
      </c>
      <c r="B196" t="s">
        <v>521</v>
      </c>
      <c r="C196" t="s">
        <v>628</v>
      </c>
      <c r="D196" s="5" t="s">
        <v>660</v>
      </c>
      <c r="E196" s="3">
        <v>3</v>
      </c>
      <c r="F196" s="3">
        <v>3</v>
      </c>
      <c r="G196" s="3">
        <v>1</v>
      </c>
      <c r="H196" s="3">
        <v>5</v>
      </c>
      <c r="I196" s="3">
        <v>3</v>
      </c>
      <c r="J196" s="3">
        <v>2</v>
      </c>
      <c r="K196" t="s">
        <v>632</v>
      </c>
      <c r="L196" s="3">
        <f t="shared" si="9"/>
        <v>1</v>
      </c>
      <c r="M196" s="3">
        <v>4</v>
      </c>
      <c r="N196" s="3">
        <v>4</v>
      </c>
      <c r="O196" s="3">
        <v>5</v>
      </c>
      <c r="P196" s="3">
        <v>3</v>
      </c>
      <c r="Q196" s="3">
        <v>2</v>
      </c>
      <c r="R196" s="3">
        <v>4</v>
      </c>
      <c r="S196" s="3">
        <v>3</v>
      </c>
      <c r="T196" s="3">
        <v>1</v>
      </c>
      <c r="U196" s="3">
        <v>5</v>
      </c>
      <c r="V196" t="s">
        <v>638</v>
      </c>
      <c r="W196" t="s">
        <v>641</v>
      </c>
      <c r="X196" t="s">
        <v>649</v>
      </c>
      <c r="Y196" t="s">
        <v>653</v>
      </c>
      <c r="Z196" t="s">
        <v>655</v>
      </c>
      <c r="AA196" s="3">
        <v>19</v>
      </c>
      <c r="AB196">
        <v>1</v>
      </c>
      <c r="AC196" s="3">
        <v>5</v>
      </c>
      <c r="AD196" t="s">
        <v>657</v>
      </c>
      <c r="AE196" s="3">
        <f t="shared" ref="AE196:AE259" si="11">IF(AE198, 1.25, 1)</f>
        <v>1.25</v>
      </c>
      <c r="AF196" s="3">
        <f>AVERAGE(E196:U196)</f>
        <v>3.0625</v>
      </c>
      <c r="AG196" s="3">
        <f>AVERAGEIF($C:$C, C196, $AE:$AE)</f>
        <v>1.25</v>
      </c>
      <c r="AH196" s="3">
        <f t="shared" si="10"/>
        <v>1.8125</v>
      </c>
      <c r="AI196" s="3">
        <f>IF(Table1[[#This Row],[Attendance Bracket]]="&gt;75%", 1, IF(Table1[[#This Row],[Attendance Bracket]]="50-75%", 0.8, 0.6))</f>
        <v>1</v>
      </c>
      <c r="AJ196" s="3">
        <v>2</v>
      </c>
      <c r="AK196" s="3" t="s">
        <v>684</v>
      </c>
      <c r="AL196" s="3">
        <f>VLOOKUP(C196,Table14[[#All],[Department]:[Publication_count]], 2, FALSE)</f>
        <v>12</v>
      </c>
      <c r="AM196" s="3">
        <v>16.25</v>
      </c>
      <c r="AN196" s="3">
        <v>4</v>
      </c>
    </row>
    <row r="197" spans="1:40" x14ac:dyDescent="0.25">
      <c r="A197" t="s">
        <v>222</v>
      </c>
      <c r="B197" t="s">
        <v>522</v>
      </c>
      <c r="C197" t="s">
        <v>628</v>
      </c>
      <c r="D197" s="5" t="s">
        <v>660</v>
      </c>
      <c r="E197" s="3">
        <v>4</v>
      </c>
      <c r="F197" s="3">
        <v>5</v>
      </c>
      <c r="G197" s="3">
        <v>1</v>
      </c>
      <c r="H197" s="3">
        <v>3</v>
      </c>
      <c r="I197" s="3">
        <v>5</v>
      </c>
      <c r="J197" s="3">
        <v>1</v>
      </c>
      <c r="K197" t="s">
        <v>633</v>
      </c>
      <c r="L197" s="3">
        <f t="shared" si="9"/>
        <v>2</v>
      </c>
      <c r="M197" s="3">
        <v>5</v>
      </c>
      <c r="N197" s="3">
        <v>4</v>
      </c>
      <c r="O197" s="3">
        <v>2</v>
      </c>
      <c r="P197" s="3">
        <v>4</v>
      </c>
      <c r="Q197" s="3">
        <v>5</v>
      </c>
      <c r="R197" s="3">
        <v>1</v>
      </c>
      <c r="S197" s="3">
        <v>2</v>
      </c>
      <c r="T197" s="3">
        <v>4</v>
      </c>
      <c r="U197" s="3">
        <v>5</v>
      </c>
      <c r="V197" t="s">
        <v>637</v>
      </c>
      <c r="W197" t="s">
        <v>645</v>
      </c>
      <c r="X197" t="s">
        <v>649</v>
      </c>
      <c r="Y197" t="s">
        <v>653</v>
      </c>
      <c r="Z197" t="s">
        <v>655</v>
      </c>
      <c r="AA197" s="3">
        <v>13</v>
      </c>
      <c r="AB197">
        <v>0</v>
      </c>
      <c r="AC197" s="3">
        <v>2</v>
      </c>
      <c r="AD197" t="s">
        <v>657</v>
      </c>
      <c r="AE197" s="3">
        <f t="shared" si="11"/>
        <v>1.25</v>
      </c>
      <c r="AF197" s="3">
        <f>AVERAGE(E197:U197)</f>
        <v>3.3125</v>
      </c>
      <c r="AG197" s="3">
        <f>AVERAGEIF($C:$C, C197, $AE:$AE)</f>
        <v>1.25</v>
      </c>
      <c r="AH197" s="3">
        <f t="shared" si="10"/>
        <v>2.0625</v>
      </c>
      <c r="AI197" s="3">
        <f>IF(Table1[[#This Row],[Attendance Bracket]]="&gt;75%", 1, IF(Table1[[#This Row],[Attendance Bracket]]="50-75%", 0.8, 0.6))</f>
        <v>1</v>
      </c>
      <c r="AJ197" s="3">
        <v>3</v>
      </c>
      <c r="AK197" s="3" t="s">
        <v>634</v>
      </c>
      <c r="AL197" s="3">
        <f>VLOOKUP(C197,Table14[[#All],[Department]:[Publication_count]], 2, FALSE)</f>
        <v>12</v>
      </c>
      <c r="AM197" s="3">
        <v>16.25</v>
      </c>
      <c r="AN197" s="3">
        <v>5</v>
      </c>
    </row>
    <row r="198" spans="1:40" x14ac:dyDescent="0.25">
      <c r="A198" t="s">
        <v>223</v>
      </c>
      <c r="B198" t="s">
        <v>523</v>
      </c>
      <c r="C198" t="s">
        <v>628</v>
      </c>
      <c r="D198" s="5" t="s">
        <v>659</v>
      </c>
      <c r="E198" s="3">
        <v>5</v>
      </c>
      <c r="F198" s="3">
        <v>5</v>
      </c>
      <c r="G198" s="3">
        <v>4</v>
      </c>
      <c r="H198" s="3">
        <v>5</v>
      </c>
      <c r="I198" s="3">
        <v>5</v>
      </c>
      <c r="J198" s="3">
        <v>2</v>
      </c>
      <c r="K198" t="s">
        <v>633</v>
      </c>
      <c r="L198" s="3">
        <f t="shared" si="9"/>
        <v>2</v>
      </c>
      <c r="M198" s="3">
        <v>5</v>
      </c>
      <c r="N198" s="3">
        <v>1</v>
      </c>
      <c r="O198" s="3">
        <v>2</v>
      </c>
      <c r="P198" s="3">
        <v>2</v>
      </c>
      <c r="Q198" s="3">
        <v>4</v>
      </c>
      <c r="R198" s="3">
        <v>5</v>
      </c>
      <c r="S198" s="3">
        <v>4</v>
      </c>
      <c r="T198" s="3">
        <v>5</v>
      </c>
      <c r="U198" s="3">
        <v>5</v>
      </c>
      <c r="V198" t="s">
        <v>639</v>
      </c>
      <c r="W198" t="s">
        <v>644</v>
      </c>
      <c r="X198" t="s">
        <v>649</v>
      </c>
      <c r="Y198" t="s">
        <v>653</v>
      </c>
      <c r="Z198" t="s">
        <v>654</v>
      </c>
      <c r="AA198" s="3">
        <v>7</v>
      </c>
      <c r="AB198">
        <v>0</v>
      </c>
      <c r="AC198" s="3">
        <v>1</v>
      </c>
      <c r="AD198" t="s">
        <v>657</v>
      </c>
      <c r="AE198" s="3">
        <f t="shared" si="11"/>
        <v>1.25</v>
      </c>
      <c r="AF198" s="3">
        <f>AVERAGE(E198:U198)</f>
        <v>3.8125</v>
      </c>
      <c r="AG198" s="3">
        <f>AVERAGEIF($C:$C, C198, $AE:$AE)</f>
        <v>1.25</v>
      </c>
      <c r="AH198" s="3">
        <f t="shared" si="10"/>
        <v>2.5625</v>
      </c>
      <c r="AI198" s="3">
        <f>IF(Table1[[#This Row],[Attendance Bracket]]="&gt;75%", 1, IF(Table1[[#This Row],[Attendance Bracket]]="50-75%", 0.8, 0.6))</f>
        <v>1</v>
      </c>
      <c r="AJ198" s="3">
        <v>2</v>
      </c>
      <c r="AK198" s="3" t="s">
        <v>684</v>
      </c>
      <c r="AL198" s="3">
        <f>VLOOKUP(C198,Table14[[#All],[Department]:[Publication_count]], 2, FALSE)</f>
        <v>12</v>
      </c>
      <c r="AM198" s="3">
        <v>16.25</v>
      </c>
      <c r="AN198" s="3">
        <v>5</v>
      </c>
    </row>
    <row r="199" spans="1:40" x14ac:dyDescent="0.25">
      <c r="A199" t="s">
        <v>224</v>
      </c>
      <c r="B199" t="s">
        <v>524</v>
      </c>
      <c r="C199" t="s">
        <v>628</v>
      </c>
      <c r="D199" s="5" t="s">
        <v>660</v>
      </c>
      <c r="E199" s="3">
        <v>3</v>
      </c>
      <c r="F199" s="3">
        <v>4</v>
      </c>
      <c r="G199" s="3">
        <v>1</v>
      </c>
      <c r="H199" s="3">
        <v>5</v>
      </c>
      <c r="I199" s="3">
        <v>5</v>
      </c>
      <c r="J199" s="3">
        <v>1</v>
      </c>
      <c r="K199" t="s">
        <v>633</v>
      </c>
      <c r="L199" s="3">
        <f t="shared" si="9"/>
        <v>2</v>
      </c>
      <c r="M199" s="3">
        <v>1</v>
      </c>
      <c r="N199" s="3">
        <v>1</v>
      </c>
      <c r="O199" s="3">
        <v>3</v>
      </c>
      <c r="P199" s="3">
        <v>5</v>
      </c>
      <c r="Q199" s="3">
        <v>4</v>
      </c>
      <c r="R199" s="3">
        <v>5</v>
      </c>
      <c r="S199" s="3">
        <v>5</v>
      </c>
      <c r="T199" s="3">
        <v>5</v>
      </c>
      <c r="U199" s="3">
        <v>3</v>
      </c>
      <c r="V199" t="s">
        <v>636</v>
      </c>
      <c r="W199" t="s">
        <v>644</v>
      </c>
      <c r="X199" t="s">
        <v>646</v>
      </c>
      <c r="Y199" t="s">
        <v>651</v>
      </c>
      <c r="Z199" t="s">
        <v>654</v>
      </c>
      <c r="AA199" s="3">
        <v>19</v>
      </c>
      <c r="AB199">
        <v>0</v>
      </c>
      <c r="AC199" s="3">
        <v>4</v>
      </c>
      <c r="AD199" t="s">
        <v>657</v>
      </c>
      <c r="AE199" s="3">
        <f t="shared" si="11"/>
        <v>1.25</v>
      </c>
      <c r="AF199" s="3">
        <f>AVERAGE(E199:U199)</f>
        <v>3.3125</v>
      </c>
      <c r="AG199" s="3">
        <f>AVERAGEIF($C:$C, C199, $AE:$AE)</f>
        <v>1.25</v>
      </c>
      <c r="AH199" s="3">
        <f t="shared" si="10"/>
        <v>2.0625</v>
      </c>
      <c r="AI199" s="3">
        <f>IF(Table1[[#This Row],[Attendance Bracket]]="&gt;75%", 1, IF(Table1[[#This Row],[Attendance Bracket]]="50-75%", 0.8, 0.6))</f>
        <v>0.8</v>
      </c>
      <c r="AJ199" s="3">
        <v>2</v>
      </c>
      <c r="AK199" s="3" t="s">
        <v>684</v>
      </c>
      <c r="AL199" s="3">
        <f>VLOOKUP(C199,Table14[[#All],[Department]:[Publication_count]], 2, FALSE)</f>
        <v>12</v>
      </c>
      <c r="AM199" s="3">
        <v>16.25</v>
      </c>
      <c r="AN199" s="3">
        <v>4.5</v>
      </c>
    </row>
    <row r="200" spans="1:40" x14ac:dyDescent="0.25">
      <c r="A200" t="s">
        <v>225</v>
      </c>
      <c r="B200" t="s">
        <v>525</v>
      </c>
      <c r="C200" t="s">
        <v>628</v>
      </c>
      <c r="D200" s="5" t="s">
        <v>659</v>
      </c>
      <c r="E200" s="3">
        <v>2</v>
      </c>
      <c r="F200" s="3">
        <v>1</v>
      </c>
      <c r="G200" s="3">
        <v>5</v>
      </c>
      <c r="H200" s="3">
        <v>4</v>
      </c>
      <c r="I200" s="3">
        <v>2</v>
      </c>
      <c r="J200" s="3">
        <v>1</v>
      </c>
      <c r="K200" t="s">
        <v>631</v>
      </c>
      <c r="L200" s="3">
        <f t="shared" si="9"/>
        <v>4</v>
      </c>
      <c r="M200" s="3">
        <v>5</v>
      </c>
      <c r="N200" s="3">
        <v>1</v>
      </c>
      <c r="O200" s="3">
        <v>1</v>
      </c>
      <c r="P200" s="3">
        <v>1</v>
      </c>
      <c r="Q200" s="3">
        <v>2</v>
      </c>
      <c r="R200" s="3">
        <v>2</v>
      </c>
      <c r="S200" s="3">
        <v>4</v>
      </c>
      <c r="T200" s="3">
        <v>5</v>
      </c>
      <c r="U200" s="3">
        <v>1</v>
      </c>
      <c r="V200" t="s">
        <v>636</v>
      </c>
      <c r="W200" t="s">
        <v>641</v>
      </c>
      <c r="X200" t="s">
        <v>648</v>
      </c>
      <c r="Y200" t="s">
        <v>653</v>
      </c>
      <c r="Z200" t="s">
        <v>656</v>
      </c>
      <c r="AA200" s="3">
        <v>16</v>
      </c>
      <c r="AB200">
        <v>0</v>
      </c>
      <c r="AC200" s="3">
        <v>4</v>
      </c>
      <c r="AD200" t="s">
        <v>657</v>
      </c>
      <c r="AE200" s="3">
        <f t="shared" si="11"/>
        <v>1.25</v>
      </c>
      <c r="AF200" s="3">
        <f>AVERAGE(E200:U200)</f>
        <v>2.5625</v>
      </c>
      <c r="AG200" s="3">
        <f>AVERAGEIF($C:$C, C200, $AE:$AE)</f>
        <v>1.25</v>
      </c>
      <c r="AH200" s="3">
        <f t="shared" si="10"/>
        <v>1.3125</v>
      </c>
      <c r="AI200" s="3">
        <f>IF(Table1[[#This Row],[Attendance Bracket]]="&gt;75%", 1, IF(Table1[[#This Row],[Attendance Bracket]]="50-75%", 0.8, 0.6))</f>
        <v>1</v>
      </c>
      <c r="AJ200" s="3">
        <v>2</v>
      </c>
      <c r="AK200" s="3" t="s">
        <v>684</v>
      </c>
      <c r="AL200" s="3">
        <f>VLOOKUP(C200,Table14[[#All],[Department]:[Publication_count]], 2, FALSE)</f>
        <v>12</v>
      </c>
      <c r="AM200" s="3">
        <v>16.25</v>
      </c>
      <c r="AN200" s="3">
        <v>3</v>
      </c>
    </row>
    <row r="201" spans="1:40" x14ac:dyDescent="0.25">
      <c r="A201" t="s">
        <v>226</v>
      </c>
      <c r="B201" t="s">
        <v>526</v>
      </c>
      <c r="C201" t="s">
        <v>628</v>
      </c>
      <c r="D201" s="5" t="s">
        <v>659</v>
      </c>
      <c r="E201" s="3">
        <v>3</v>
      </c>
      <c r="F201" s="3">
        <v>2</v>
      </c>
      <c r="G201" s="3">
        <v>4</v>
      </c>
      <c r="H201" s="3">
        <v>1</v>
      </c>
      <c r="I201" s="3">
        <v>2</v>
      </c>
      <c r="J201" s="3">
        <v>4</v>
      </c>
      <c r="K201" t="s">
        <v>635</v>
      </c>
      <c r="L201" s="3">
        <f t="shared" si="9"/>
        <v>5</v>
      </c>
      <c r="M201" s="3">
        <v>1</v>
      </c>
      <c r="N201" s="3">
        <v>2</v>
      </c>
      <c r="O201" s="3">
        <v>5</v>
      </c>
      <c r="P201" s="3">
        <v>5</v>
      </c>
      <c r="Q201" s="3">
        <v>2</v>
      </c>
      <c r="R201" s="3">
        <v>3</v>
      </c>
      <c r="S201" s="3">
        <v>5</v>
      </c>
      <c r="T201" s="3">
        <v>4</v>
      </c>
      <c r="U201" s="3">
        <v>5</v>
      </c>
      <c r="V201" t="s">
        <v>636</v>
      </c>
      <c r="W201" t="s">
        <v>641</v>
      </c>
      <c r="X201" t="s">
        <v>650</v>
      </c>
      <c r="Y201" t="s">
        <v>652</v>
      </c>
      <c r="Z201" t="s">
        <v>656</v>
      </c>
      <c r="AA201" s="3">
        <v>12</v>
      </c>
      <c r="AB201">
        <v>1</v>
      </c>
      <c r="AC201" s="3">
        <v>4</v>
      </c>
      <c r="AD201" t="s">
        <v>657</v>
      </c>
      <c r="AE201" s="3">
        <f t="shared" si="11"/>
        <v>1.25</v>
      </c>
      <c r="AF201" s="3">
        <f>AVERAGE(E201:U201)</f>
        <v>3.3125</v>
      </c>
      <c r="AG201" s="3">
        <f>AVERAGEIF($C:$C, C201, $AE:$AE)</f>
        <v>1.25</v>
      </c>
      <c r="AH201" s="3">
        <f t="shared" si="10"/>
        <v>2.0625</v>
      </c>
      <c r="AI201" s="3">
        <f>IF(Table1[[#This Row],[Attendance Bracket]]="&gt;75%", 1, IF(Table1[[#This Row],[Attendance Bracket]]="50-75%", 0.8, 0.6))</f>
        <v>0.6</v>
      </c>
      <c r="AJ201" s="3">
        <v>2</v>
      </c>
      <c r="AK201" s="3" t="s">
        <v>684</v>
      </c>
      <c r="AL201" s="3">
        <f>VLOOKUP(C201,Table14[[#All],[Department]:[Publication_count]], 2, FALSE)</f>
        <v>12</v>
      </c>
      <c r="AM201" s="3">
        <v>16.25</v>
      </c>
      <c r="AN201" s="3">
        <v>3.5</v>
      </c>
    </row>
    <row r="202" spans="1:40" x14ac:dyDescent="0.25">
      <c r="A202" t="s">
        <v>227</v>
      </c>
      <c r="B202" t="s">
        <v>527</v>
      </c>
      <c r="C202" t="s">
        <v>627</v>
      </c>
      <c r="D202" s="5" t="s">
        <v>660</v>
      </c>
      <c r="E202" s="3">
        <v>1</v>
      </c>
      <c r="F202" s="3">
        <v>1</v>
      </c>
      <c r="G202" s="3">
        <v>4</v>
      </c>
      <c r="H202" s="3">
        <v>4</v>
      </c>
      <c r="I202" s="3">
        <v>5</v>
      </c>
      <c r="J202" s="3">
        <v>4</v>
      </c>
      <c r="K202" t="s">
        <v>635</v>
      </c>
      <c r="L202" s="3">
        <f t="shared" si="9"/>
        <v>5</v>
      </c>
      <c r="M202" s="3">
        <v>3</v>
      </c>
      <c r="N202" s="3">
        <v>2</v>
      </c>
      <c r="O202" s="3">
        <v>4</v>
      </c>
      <c r="P202" s="3">
        <v>2</v>
      </c>
      <c r="Q202" s="3">
        <v>5</v>
      </c>
      <c r="R202" s="3">
        <v>1</v>
      </c>
      <c r="S202" s="3">
        <v>3</v>
      </c>
      <c r="T202" s="3">
        <v>2</v>
      </c>
      <c r="U202" s="3">
        <v>4</v>
      </c>
      <c r="V202" t="s">
        <v>640</v>
      </c>
      <c r="W202" t="s">
        <v>645</v>
      </c>
      <c r="X202" t="s">
        <v>648</v>
      </c>
      <c r="Y202" t="s">
        <v>651</v>
      </c>
      <c r="Z202" t="s">
        <v>654</v>
      </c>
      <c r="AA202" s="3">
        <v>10</v>
      </c>
      <c r="AB202">
        <v>1</v>
      </c>
      <c r="AC202" s="3">
        <v>5</v>
      </c>
      <c r="AD202" t="s">
        <v>657</v>
      </c>
      <c r="AE202" s="3">
        <f t="shared" si="11"/>
        <v>1.25</v>
      </c>
      <c r="AF202" s="3">
        <f>AVERAGE(E202:U202)</f>
        <v>3.125</v>
      </c>
      <c r="AG202" s="3">
        <f>AVERAGEIF($C:$C, C202, $AE:$AE)</f>
        <v>1.25</v>
      </c>
      <c r="AH202" s="3">
        <f t="shared" si="10"/>
        <v>1.875</v>
      </c>
      <c r="AI202" s="3">
        <f>IF(Table1[[#This Row],[Attendance Bracket]]="&gt;75%", 1, IF(Table1[[#This Row],[Attendance Bracket]]="50-75%", 0.8, 0.6))</f>
        <v>0.8</v>
      </c>
      <c r="AJ202" s="3">
        <v>3</v>
      </c>
      <c r="AK202" s="3" t="s">
        <v>634</v>
      </c>
      <c r="AL202" s="3">
        <f>VLOOKUP(C202,Table14[[#All],[Department]:[Publication_count]], 2, FALSE)</f>
        <v>5</v>
      </c>
      <c r="AM202" s="3">
        <v>6.3333333329999997</v>
      </c>
      <c r="AN202" s="3">
        <v>1.474358974</v>
      </c>
    </row>
    <row r="203" spans="1:40" x14ac:dyDescent="0.25">
      <c r="A203" t="s">
        <v>228</v>
      </c>
      <c r="B203" t="s">
        <v>528</v>
      </c>
      <c r="C203" t="s">
        <v>627</v>
      </c>
      <c r="D203" s="5" t="s">
        <v>659</v>
      </c>
      <c r="E203" s="3">
        <v>3</v>
      </c>
      <c r="F203" s="3">
        <v>2</v>
      </c>
      <c r="G203" s="3">
        <v>3</v>
      </c>
      <c r="H203" s="3">
        <v>4</v>
      </c>
      <c r="I203" s="3">
        <v>4</v>
      </c>
      <c r="J203" s="3">
        <v>3</v>
      </c>
      <c r="K203" t="s">
        <v>635</v>
      </c>
      <c r="L203" s="3">
        <f t="shared" si="9"/>
        <v>5</v>
      </c>
      <c r="M203" s="3">
        <v>4</v>
      </c>
      <c r="N203" s="3">
        <v>2</v>
      </c>
      <c r="O203" s="3">
        <v>4</v>
      </c>
      <c r="P203" s="3">
        <v>4</v>
      </c>
      <c r="Q203" s="3">
        <v>3</v>
      </c>
      <c r="R203" s="3">
        <v>3</v>
      </c>
      <c r="S203" s="3">
        <v>1</v>
      </c>
      <c r="T203" s="3">
        <v>3</v>
      </c>
      <c r="U203" s="3">
        <v>2</v>
      </c>
      <c r="V203" t="s">
        <v>636</v>
      </c>
      <c r="W203" t="s">
        <v>641</v>
      </c>
      <c r="X203" t="s">
        <v>648</v>
      </c>
      <c r="Y203" t="s">
        <v>652</v>
      </c>
      <c r="Z203" t="s">
        <v>655</v>
      </c>
      <c r="AA203" s="3">
        <v>17</v>
      </c>
      <c r="AB203">
        <v>0</v>
      </c>
      <c r="AC203" s="3">
        <v>1</v>
      </c>
      <c r="AD203" t="s">
        <v>657</v>
      </c>
      <c r="AE203" s="3">
        <f t="shared" si="11"/>
        <v>1.25</v>
      </c>
      <c r="AF203" s="3">
        <f>AVERAGE(E203:U203)</f>
        <v>3.125</v>
      </c>
      <c r="AG203" s="3">
        <f>AVERAGEIF($C:$C, C203, $AE:$AE)</f>
        <v>1.25</v>
      </c>
      <c r="AH203" s="3">
        <f t="shared" si="10"/>
        <v>1.875</v>
      </c>
      <c r="AI203" s="3">
        <f>IF(Table1[[#This Row],[Attendance Bracket]]="&gt;75%", 1, IF(Table1[[#This Row],[Attendance Bracket]]="50-75%", 0.8, 0.6))</f>
        <v>0.6</v>
      </c>
      <c r="AJ203" s="3">
        <v>2</v>
      </c>
      <c r="AK203" s="3" t="s">
        <v>684</v>
      </c>
      <c r="AL203" s="3">
        <f>VLOOKUP(C203,Table14[[#All],[Department]:[Publication_count]], 2, FALSE)</f>
        <v>5</v>
      </c>
      <c r="AM203" s="3">
        <v>6.3333333329999997</v>
      </c>
      <c r="AN203" s="3">
        <v>1.974358974</v>
      </c>
    </row>
    <row r="204" spans="1:40" x14ac:dyDescent="0.25">
      <c r="A204" t="s">
        <v>229</v>
      </c>
      <c r="B204" t="s">
        <v>529</v>
      </c>
      <c r="C204" t="s">
        <v>628</v>
      </c>
      <c r="D204" s="5" t="s">
        <v>630</v>
      </c>
      <c r="E204" s="3">
        <v>2</v>
      </c>
      <c r="F204" s="3">
        <v>1</v>
      </c>
      <c r="G204" s="3">
        <v>3</v>
      </c>
      <c r="H204" s="3">
        <v>4</v>
      </c>
      <c r="I204" s="3">
        <v>3</v>
      </c>
      <c r="J204" s="3">
        <v>1</v>
      </c>
      <c r="K204" t="s">
        <v>631</v>
      </c>
      <c r="L204" s="3">
        <f t="shared" si="9"/>
        <v>4</v>
      </c>
      <c r="M204" s="3">
        <v>2</v>
      </c>
      <c r="N204" s="3">
        <v>2</v>
      </c>
      <c r="O204" s="3">
        <v>1</v>
      </c>
      <c r="P204" s="3">
        <v>5</v>
      </c>
      <c r="Q204" s="3">
        <v>1</v>
      </c>
      <c r="R204" s="3">
        <v>5</v>
      </c>
      <c r="S204" s="3">
        <v>3</v>
      </c>
      <c r="T204" s="3">
        <v>3</v>
      </c>
      <c r="U204" s="3">
        <v>2</v>
      </c>
      <c r="V204" t="s">
        <v>639</v>
      </c>
      <c r="W204" t="s">
        <v>642</v>
      </c>
      <c r="X204" t="s">
        <v>649</v>
      </c>
      <c r="Y204" t="s">
        <v>651</v>
      </c>
      <c r="Z204" t="s">
        <v>654</v>
      </c>
      <c r="AA204" s="3">
        <v>13</v>
      </c>
      <c r="AB204">
        <v>1</v>
      </c>
      <c r="AC204" s="3">
        <v>1</v>
      </c>
      <c r="AD204" t="s">
        <v>657</v>
      </c>
      <c r="AE204" s="3">
        <f t="shared" si="11"/>
        <v>1.25</v>
      </c>
      <c r="AF204" s="3">
        <f>AVERAGE(E204:U204)</f>
        <v>2.625</v>
      </c>
      <c r="AG204" s="3">
        <f>AVERAGEIF($C:$C, C204, $AE:$AE)</f>
        <v>1.25</v>
      </c>
      <c r="AH204" s="3">
        <f t="shared" si="10"/>
        <v>1.375</v>
      </c>
      <c r="AI204" s="3">
        <f>IF(Table1[[#This Row],[Attendance Bracket]]="&gt;75%", 1, IF(Table1[[#This Row],[Attendance Bracket]]="50-75%", 0.8, 0.6))</f>
        <v>0.8</v>
      </c>
      <c r="AJ204" s="3">
        <v>1</v>
      </c>
      <c r="AK204" s="3" t="s">
        <v>684</v>
      </c>
      <c r="AL204" s="3">
        <f>VLOOKUP(C204,Table14[[#All],[Department]:[Publication_count]], 2, FALSE)</f>
        <v>12</v>
      </c>
      <c r="AM204" s="3">
        <v>16.25</v>
      </c>
      <c r="AN204" s="3">
        <v>3</v>
      </c>
    </row>
    <row r="205" spans="1:40" x14ac:dyDescent="0.25">
      <c r="A205" t="s">
        <v>230</v>
      </c>
      <c r="B205" t="s">
        <v>530</v>
      </c>
      <c r="C205" t="s">
        <v>629</v>
      </c>
      <c r="D205" s="5" t="s">
        <v>660</v>
      </c>
      <c r="E205" s="3">
        <v>3</v>
      </c>
      <c r="F205" s="3">
        <v>1</v>
      </c>
      <c r="G205" s="3">
        <v>3</v>
      </c>
      <c r="H205" s="3">
        <v>1</v>
      </c>
      <c r="I205" s="3">
        <v>3</v>
      </c>
      <c r="J205" s="3">
        <v>3</v>
      </c>
      <c r="K205" t="s">
        <v>633</v>
      </c>
      <c r="L205" s="3">
        <f t="shared" si="9"/>
        <v>2</v>
      </c>
      <c r="M205" s="3">
        <v>1</v>
      </c>
      <c r="N205" s="3">
        <v>3</v>
      </c>
      <c r="O205" s="3">
        <v>5</v>
      </c>
      <c r="P205" s="3">
        <v>1</v>
      </c>
      <c r="Q205" s="3">
        <v>5</v>
      </c>
      <c r="R205" s="3">
        <v>5</v>
      </c>
      <c r="S205" s="3">
        <v>2</v>
      </c>
      <c r="T205" s="3">
        <v>4</v>
      </c>
      <c r="U205" s="3">
        <v>4</v>
      </c>
      <c r="V205" t="s">
        <v>639</v>
      </c>
      <c r="W205" t="s">
        <v>643</v>
      </c>
      <c r="X205" t="s">
        <v>650</v>
      </c>
      <c r="Y205" t="s">
        <v>651</v>
      </c>
      <c r="Z205" t="s">
        <v>655</v>
      </c>
      <c r="AA205" s="3">
        <v>15</v>
      </c>
      <c r="AB205">
        <v>0</v>
      </c>
      <c r="AC205" s="3">
        <v>3</v>
      </c>
      <c r="AD205" t="s">
        <v>657</v>
      </c>
      <c r="AE205" s="3">
        <f t="shared" si="11"/>
        <v>1.25</v>
      </c>
      <c r="AF205" s="3">
        <f>AVERAGE(E205:U205)</f>
        <v>2.875</v>
      </c>
      <c r="AG205" s="3">
        <f>AVERAGEIF($C:$C, C205, $AE:$AE)</f>
        <v>1.2450000000000001</v>
      </c>
      <c r="AH205" s="3">
        <f t="shared" si="10"/>
        <v>1.63</v>
      </c>
      <c r="AI205" s="3">
        <f>IF(Table1[[#This Row],[Attendance Bracket]]="&gt;75%", 1, IF(Table1[[#This Row],[Attendance Bracket]]="50-75%", 0.8, 0.6))</f>
        <v>0.8</v>
      </c>
      <c r="AJ205" s="3">
        <v>2</v>
      </c>
      <c r="AK205" s="3" t="s">
        <v>684</v>
      </c>
      <c r="AL205" s="3">
        <f>VLOOKUP(C205,Table14[[#All],[Department]:[Publication_count]], 2, FALSE)</f>
        <v>3</v>
      </c>
      <c r="AM205" s="3">
        <v>4.6666666670000003</v>
      </c>
      <c r="AN205" s="3">
        <v>1.2179487179999999</v>
      </c>
    </row>
    <row r="206" spans="1:40" x14ac:dyDescent="0.25">
      <c r="A206" t="s">
        <v>231</v>
      </c>
      <c r="B206" t="s">
        <v>531</v>
      </c>
      <c r="C206" t="s">
        <v>627</v>
      </c>
      <c r="D206" s="5" t="s">
        <v>660</v>
      </c>
      <c r="E206" s="3">
        <v>3</v>
      </c>
      <c r="F206" s="3">
        <v>1</v>
      </c>
      <c r="G206" s="3">
        <v>4</v>
      </c>
      <c r="H206" s="3">
        <v>1</v>
      </c>
      <c r="I206" s="3">
        <v>4</v>
      </c>
      <c r="J206" s="3">
        <v>5</v>
      </c>
      <c r="K206" t="s">
        <v>632</v>
      </c>
      <c r="L206" s="3">
        <f t="shared" si="9"/>
        <v>1</v>
      </c>
      <c r="M206" s="3">
        <v>1</v>
      </c>
      <c r="N206" s="3">
        <v>3</v>
      </c>
      <c r="O206" s="3">
        <v>3</v>
      </c>
      <c r="P206" s="3">
        <v>4</v>
      </c>
      <c r="Q206" s="3">
        <v>2</v>
      </c>
      <c r="R206" s="3">
        <v>2</v>
      </c>
      <c r="S206" s="3">
        <v>1</v>
      </c>
      <c r="T206" s="3">
        <v>5</v>
      </c>
      <c r="U206" s="3">
        <v>5</v>
      </c>
      <c r="V206" t="s">
        <v>637</v>
      </c>
      <c r="W206" t="s">
        <v>644</v>
      </c>
      <c r="X206" t="s">
        <v>646</v>
      </c>
      <c r="Y206" t="s">
        <v>652</v>
      </c>
      <c r="Z206" t="s">
        <v>656</v>
      </c>
      <c r="AA206" s="3">
        <v>10</v>
      </c>
      <c r="AB206">
        <v>0</v>
      </c>
      <c r="AC206" s="3">
        <v>2</v>
      </c>
      <c r="AD206" t="s">
        <v>657</v>
      </c>
      <c r="AE206" s="3">
        <f t="shared" si="11"/>
        <v>1.25</v>
      </c>
      <c r="AF206" s="3">
        <f>AVERAGE(E206:U206)</f>
        <v>2.8125</v>
      </c>
      <c r="AG206" s="3">
        <f>AVERAGEIF($C:$C, C206, $AE:$AE)</f>
        <v>1.25</v>
      </c>
      <c r="AH206" s="3">
        <f t="shared" si="10"/>
        <v>1.5625</v>
      </c>
      <c r="AI206" s="3">
        <f>IF(Table1[[#This Row],[Attendance Bracket]]="&gt;75%", 1, IF(Table1[[#This Row],[Attendance Bracket]]="50-75%", 0.8, 0.6))</f>
        <v>0.6</v>
      </c>
      <c r="AJ206" s="3">
        <v>2</v>
      </c>
      <c r="AK206" s="3" t="s">
        <v>684</v>
      </c>
      <c r="AL206" s="3">
        <f>VLOOKUP(C206,Table14[[#All],[Department]:[Publication_count]], 2, FALSE)</f>
        <v>5</v>
      </c>
      <c r="AM206" s="3">
        <v>6.3333333329999997</v>
      </c>
      <c r="AN206" s="3">
        <v>1.474358974</v>
      </c>
    </row>
    <row r="207" spans="1:40" x14ac:dyDescent="0.25">
      <c r="A207" t="s">
        <v>232</v>
      </c>
      <c r="B207" t="s">
        <v>532</v>
      </c>
      <c r="C207" t="s">
        <v>628</v>
      </c>
      <c r="D207" s="5" t="s">
        <v>660</v>
      </c>
      <c r="E207" s="3">
        <v>3</v>
      </c>
      <c r="F207" s="3">
        <v>2</v>
      </c>
      <c r="G207" s="3">
        <v>4</v>
      </c>
      <c r="H207" s="3">
        <v>3</v>
      </c>
      <c r="I207" s="3">
        <v>3</v>
      </c>
      <c r="J207" s="3">
        <v>5</v>
      </c>
      <c r="K207" t="s">
        <v>634</v>
      </c>
      <c r="L207" s="3">
        <f t="shared" si="9"/>
        <v>3</v>
      </c>
      <c r="M207" s="3">
        <v>5</v>
      </c>
      <c r="N207" s="3">
        <v>5</v>
      </c>
      <c r="O207" s="3">
        <v>3</v>
      </c>
      <c r="P207" s="3">
        <v>3</v>
      </c>
      <c r="Q207" s="3">
        <v>5</v>
      </c>
      <c r="R207" s="3">
        <v>2</v>
      </c>
      <c r="S207" s="3">
        <v>5</v>
      </c>
      <c r="T207" s="3">
        <v>1</v>
      </c>
      <c r="U207" s="3">
        <v>4</v>
      </c>
      <c r="V207" t="s">
        <v>640</v>
      </c>
      <c r="W207" t="s">
        <v>643</v>
      </c>
      <c r="X207" t="s">
        <v>646</v>
      </c>
      <c r="Y207" t="s">
        <v>651</v>
      </c>
      <c r="Z207" t="s">
        <v>654</v>
      </c>
      <c r="AA207" s="3">
        <v>6</v>
      </c>
      <c r="AB207">
        <v>0</v>
      </c>
      <c r="AC207" s="3">
        <v>1</v>
      </c>
      <c r="AD207" t="s">
        <v>657</v>
      </c>
      <c r="AE207" s="3">
        <f t="shared" si="11"/>
        <v>1.25</v>
      </c>
      <c r="AF207" s="3">
        <f>AVERAGE(E207:U207)</f>
        <v>3.5</v>
      </c>
      <c r="AG207" s="3">
        <f>AVERAGEIF($C:$C, C207, $AE:$AE)</f>
        <v>1.25</v>
      </c>
      <c r="AH207" s="3">
        <f t="shared" si="10"/>
        <v>2.25</v>
      </c>
      <c r="AI207" s="3">
        <f>IF(Table1[[#This Row],[Attendance Bracket]]="&gt;75%", 1, IF(Table1[[#This Row],[Attendance Bracket]]="50-75%", 0.8, 0.6))</f>
        <v>0.8</v>
      </c>
      <c r="AJ207" s="3">
        <v>2</v>
      </c>
      <c r="AK207" s="3" t="s">
        <v>684</v>
      </c>
      <c r="AL207" s="3">
        <f>VLOOKUP(C207,Table14[[#All],[Department]:[Publication_count]], 2, FALSE)</f>
        <v>12</v>
      </c>
      <c r="AM207" s="3">
        <v>16.25</v>
      </c>
      <c r="AN207" s="3">
        <v>3.5</v>
      </c>
    </row>
    <row r="208" spans="1:40" x14ac:dyDescent="0.25">
      <c r="A208" t="s">
        <v>233</v>
      </c>
      <c r="B208" t="s">
        <v>533</v>
      </c>
      <c r="C208" t="s">
        <v>628</v>
      </c>
      <c r="D208" s="5" t="s">
        <v>630</v>
      </c>
      <c r="E208" s="3">
        <v>2</v>
      </c>
      <c r="F208" s="3">
        <v>5</v>
      </c>
      <c r="G208" s="3">
        <v>2</v>
      </c>
      <c r="H208" s="3">
        <v>4</v>
      </c>
      <c r="I208" s="3">
        <v>2</v>
      </c>
      <c r="J208" s="3">
        <v>5</v>
      </c>
      <c r="K208" t="s">
        <v>632</v>
      </c>
      <c r="L208" s="3">
        <f t="shared" si="9"/>
        <v>1</v>
      </c>
      <c r="M208" s="3">
        <v>4</v>
      </c>
      <c r="N208" s="3">
        <v>2</v>
      </c>
      <c r="O208" s="3">
        <v>5</v>
      </c>
      <c r="P208" s="3">
        <v>2</v>
      </c>
      <c r="Q208" s="3">
        <v>4</v>
      </c>
      <c r="R208" s="3">
        <v>3</v>
      </c>
      <c r="S208" s="3">
        <v>4</v>
      </c>
      <c r="T208" s="3">
        <v>5</v>
      </c>
      <c r="U208" s="3">
        <v>2</v>
      </c>
      <c r="V208" t="s">
        <v>639</v>
      </c>
      <c r="W208" t="s">
        <v>644</v>
      </c>
      <c r="X208" t="s">
        <v>649</v>
      </c>
      <c r="Y208" t="s">
        <v>651</v>
      </c>
      <c r="Z208" t="s">
        <v>654</v>
      </c>
      <c r="AA208" s="3">
        <v>14</v>
      </c>
      <c r="AB208">
        <v>0</v>
      </c>
      <c r="AC208" s="3">
        <v>5</v>
      </c>
      <c r="AD208" t="s">
        <v>657</v>
      </c>
      <c r="AE208" s="3">
        <f t="shared" si="11"/>
        <v>1.25</v>
      </c>
      <c r="AF208" s="3">
        <f>AVERAGE(E208:U208)</f>
        <v>3.25</v>
      </c>
      <c r="AG208" s="3">
        <f>AVERAGEIF($C:$C, C208, $AE:$AE)</f>
        <v>1.25</v>
      </c>
      <c r="AH208" s="3">
        <f t="shared" si="10"/>
        <v>2</v>
      </c>
      <c r="AI208" s="3">
        <f>IF(Table1[[#This Row],[Attendance Bracket]]="&gt;75%", 1, IF(Table1[[#This Row],[Attendance Bracket]]="50-75%", 0.8, 0.6))</f>
        <v>0.8</v>
      </c>
      <c r="AJ208" s="3">
        <v>2</v>
      </c>
      <c r="AK208" s="3" t="s">
        <v>684</v>
      </c>
      <c r="AL208" s="3">
        <f>VLOOKUP(C208,Table14[[#All],[Department]:[Publication_count]], 2, FALSE)</f>
        <v>12</v>
      </c>
      <c r="AM208" s="3">
        <v>16.25</v>
      </c>
      <c r="AN208" s="3">
        <v>5</v>
      </c>
    </row>
    <row r="209" spans="1:40" x14ac:dyDescent="0.25">
      <c r="A209" t="s">
        <v>234</v>
      </c>
      <c r="B209" t="s">
        <v>534</v>
      </c>
      <c r="C209" t="s">
        <v>628</v>
      </c>
      <c r="D209" s="5" t="s">
        <v>659</v>
      </c>
      <c r="E209" s="3">
        <v>5</v>
      </c>
      <c r="F209" s="3">
        <v>2</v>
      </c>
      <c r="G209" s="3">
        <v>4</v>
      </c>
      <c r="H209" s="3">
        <v>1</v>
      </c>
      <c r="I209" s="3">
        <v>1</v>
      </c>
      <c r="J209" s="3">
        <v>1</v>
      </c>
      <c r="K209" t="s">
        <v>632</v>
      </c>
      <c r="L209" s="3">
        <f t="shared" si="9"/>
        <v>1</v>
      </c>
      <c r="M209" s="3">
        <v>4</v>
      </c>
      <c r="N209" s="3">
        <v>3</v>
      </c>
      <c r="O209" s="3">
        <v>4</v>
      </c>
      <c r="P209" s="3">
        <v>2</v>
      </c>
      <c r="Q209" s="3">
        <v>4</v>
      </c>
      <c r="R209" s="3">
        <v>3</v>
      </c>
      <c r="S209" s="3">
        <v>3</v>
      </c>
      <c r="T209" s="3">
        <v>5</v>
      </c>
      <c r="U209" s="3">
        <v>1</v>
      </c>
      <c r="V209" t="s">
        <v>640</v>
      </c>
      <c r="W209" t="s">
        <v>642</v>
      </c>
      <c r="X209" t="s">
        <v>649</v>
      </c>
      <c r="Y209" t="s">
        <v>653</v>
      </c>
      <c r="Z209" t="s">
        <v>655</v>
      </c>
      <c r="AA209" s="3">
        <v>20</v>
      </c>
      <c r="AB209">
        <v>0</v>
      </c>
      <c r="AC209" s="3">
        <v>2</v>
      </c>
      <c r="AD209" t="s">
        <v>657</v>
      </c>
      <c r="AE209" s="3">
        <f t="shared" si="11"/>
        <v>1.25</v>
      </c>
      <c r="AF209" s="3">
        <f>AVERAGE(E209:U209)</f>
        <v>2.75</v>
      </c>
      <c r="AG209" s="3">
        <f>AVERAGEIF($C:$C, C209, $AE:$AE)</f>
        <v>1.25</v>
      </c>
      <c r="AH209" s="3">
        <f t="shared" si="10"/>
        <v>1.5</v>
      </c>
      <c r="AI209" s="3">
        <f>IF(Table1[[#This Row],[Attendance Bracket]]="&gt;75%", 1, IF(Table1[[#This Row],[Attendance Bracket]]="50-75%", 0.8, 0.6))</f>
        <v>1</v>
      </c>
      <c r="AJ209" s="3">
        <v>1</v>
      </c>
      <c r="AK209" s="3" t="s">
        <v>684</v>
      </c>
      <c r="AL209" s="3">
        <f>VLOOKUP(C209,Table14[[#All],[Department]:[Publication_count]], 2, FALSE)</f>
        <v>12</v>
      </c>
      <c r="AM209" s="3">
        <v>16.25</v>
      </c>
      <c r="AN209" s="3">
        <v>3.5</v>
      </c>
    </row>
    <row r="210" spans="1:40" x14ac:dyDescent="0.25">
      <c r="A210" t="s">
        <v>235</v>
      </c>
      <c r="B210" t="s">
        <v>535</v>
      </c>
      <c r="C210" t="s">
        <v>628</v>
      </c>
      <c r="D210" s="5" t="s">
        <v>660</v>
      </c>
      <c r="E210" s="3">
        <v>3</v>
      </c>
      <c r="F210" s="3">
        <v>2</v>
      </c>
      <c r="G210" s="3">
        <v>3</v>
      </c>
      <c r="H210" s="3">
        <v>5</v>
      </c>
      <c r="I210" s="3">
        <v>5</v>
      </c>
      <c r="J210" s="3">
        <v>3</v>
      </c>
      <c r="K210" t="s">
        <v>632</v>
      </c>
      <c r="L210" s="3">
        <f t="shared" si="9"/>
        <v>1</v>
      </c>
      <c r="M210" s="3">
        <v>2</v>
      </c>
      <c r="N210" s="3">
        <v>5</v>
      </c>
      <c r="O210" s="3">
        <v>4</v>
      </c>
      <c r="P210" s="3">
        <v>5</v>
      </c>
      <c r="Q210" s="3">
        <v>4</v>
      </c>
      <c r="R210" s="3">
        <v>4</v>
      </c>
      <c r="S210" s="3">
        <v>1</v>
      </c>
      <c r="T210" s="3">
        <v>2</v>
      </c>
      <c r="U210" s="3">
        <v>3</v>
      </c>
      <c r="V210" t="s">
        <v>639</v>
      </c>
      <c r="W210" t="s">
        <v>645</v>
      </c>
      <c r="X210" t="s">
        <v>648</v>
      </c>
      <c r="Y210" t="s">
        <v>652</v>
      </c>
      <c r="Z210" t="s">
        <v>654</v>
      </c>
      <c r="AA210" s="3">
        <v>11</v>
      </c>
      <c r="AB210">
        <v>1</v>
      </c>
      <c r="AC210" s="3">
        <v>4</v>
      </c>
      <c r="AD210" t="s">
        <v>657</v>
      </c>
      <c r="AE210" s="3">
        <f t="shared" si="11"/>
        <v>1.25</v>
      </c>
      <c r="AF210" s="3">
        <f>AVERAGE(E210:U210)</f>
        <v>3.25</v>
      </c>
      <c r="AG210" s="3">
        <f>AVERAGEIF($C:$C, C210, $AE:$AE)</f>
        <v>1.25</v>
      </c>
      <c r="AH210" s="3">
        <f t="shared" si="10"/>
        <v>2</v>
      </c>
      <c r="AI210" s="3">
        <f>IF(Table1[[#This Row],[Attendance Bracket]]="&gt;75%", 1, IF(Table1[[#This Row],[Attendance Bracket]]="50-75%", 0.8, 0.6))</f>
        <v>0.6</v>
      </c>
      <c r="AJ210" s="3">
        <v>3</v>
      </c>
      <c r="AK210" s="3" t="s">
        <v>634</v>
      </c>
      <c r="AL210" s="3">
        <f>VLOOKUP(C210,Table14[[#All],[Department]:[Publication_count]], 2, FALSE)</f>
        <v>12</v>
      </c>
      <c r="AM210" s="3">
        <v>16.25</v>
      </c>
      <c r="AN210" s="3">
        <v>3.5</v>
      </c>
    </row>
    <row r="211" spans="1:40" x14ac:dyDescent="0.25">
      <c r="A211" t="s">
        <v>236</v>
      </c>
      <c r="B211" t="s">
        <v>536</v>
      </c>
      <c r="C211" t="s">
        <v>628</v>
      </c>
      <c r="D211" s="5" t="s">
        <v>660</v>
      </c>
      <c r="E211" s="3">
        <v>2</v>
      </c>
      <c r="F211" s="3">
        <v>5</v>
      </c>
      <c r="G211" s="3">
        <v>3</v>
      </c>
      <c r="H211" s="3">
        <v>2</v>
      </c>
      <c r="I211" s="3">
        <v>4</v>
      </c>
      <c r="J211" s="3">
        <v>5</v>
      </c>
      <c r="K211" t="s">
        <v>633</v>
      </c>
      <c r="L211" s="3">
        <f t="shared" si="9"/>
        <v>2</v>
      </c>
      <c r="M211" s="3">
        <v>2</v>
      </c>
      <c r="N211" s="3">
        <v>5</v>
      </c>
      <c r="O211" s="3">
        <v>2</v>
      </c>
      <c r="P211" s="3">
        <v>4</v>
      </c>
      <c r="Q211" s="3">
        <v>5</v>
      </c>
      <c r="R211" s="3">
        <v>4</v>
      </c>
      <c r="S211" s="3">
        <v>2</v>
      </c>
      <c r="T211" s="3">
        <v>3</v>
      </c>
      <c r="U211" s="3">
        <v>4</v>
      </c>
      <c r="V211" t="s">
        <v>636</v>
      </c>
      <c r="W211" t="s">
        <v>643</v>
      </c>
      <c r="X211" t="s">
        <v>648</v>
      </c>
      <c r="Y211" t="s">
        <v>651</v>
      </c>
      <c r="Z211" t="s">
        <v>656</v>
      </c>
      <c r="AA211" s="3">
        <v>18</v>
      </c>
      <c r="AB211">
        <v>0</v>
      </c>
      <c r="AC211" s="3">
        <v>5</v>
      </c>
      <c r="AD211" t="s">
        <v>657</v>
      </c>
      <c r="AE211" s="3">
        <f t="shared" si="11"/>
        <v>1.25</v>
      </c>
      <c r="AF211" s="3">
        <f>AVERAGE(E211:U211)</f>
        <v>3.375</v>
      </c>
      <c r="AG211" s="3">
        <f>AVERAGEIF($C:$C, C211, $AE:$AE)</f>
        <v>1.25</v>
      </c>
      <c r="AH211" s="3">
        <f t="shared" si="10"/>
        <v>2.125</v>
      </c>
      <c r="AI211" s="3">
        <f>IF(Table1[[#This Row],[Attendance Bracket]]="&gt;75%", 1, IF(Table1[[#This Row],[Attendance Bracket]]="50-75%", 0.8, 0.6))</f>
        <v>0.8</v>
      </c>
      <c r="AJ211" s="3">
        <v>2</v>
      </c>
      <c r="AK211" s="3" t="s">
        <v>684</v>
      </c>
      <c r="AL211" s="3">
        <f>VLOOKUP(C211,Table14[[#All],[Department]:[Publication_count]], 2, FALSE)</f>
        <v>12</v>
      </c>
      <c r="AM211" s="3">
        <v>16.25</v>
      </c>
      <c r="AN211" s="3">
        <v>5</v>
      </c>
    </row>
    <row r="212" spans="1:40" x14ac:dyDescent="0.25">
      <c r="A212" t="s">
        <v>237</v>
      </c>
      <c r="B212" t="s">
        <v>537</v>
      </c>
      <c r="C212" t="s">
        <v>627</v>
      </c>
      <c r="D212" s="5" t="s">
        <v>659</v>
      </c>
      <c r="E212" s="3">
        <v>2</v>
      </c>
      <c r="F212" s="3">
        <v>5</v>
      </c>
      <c r="G212" s="3">
        <v>1</v>
      </c>
      <c r="H212" s="3">
        <v>5</v>
      </c>
      <c r="I212" s="3">
        <v>5</v>
      </c>
      <c r="J212" s="3">
        <v>2</v>
      </c>
      <c r="K212" t="s">
        <v>633</v>
      </c>
      <c r="L212" s="3">
        <f t="shared" si="9"/>
        <v>2</v>
      </c>
      <c r="M212" s="3">
        <v>5</v>
      </c>
      <c r="N212" s="3">
        <v>3</v>
      </c>
      <c r="O212" s="3">
        <v>2</v>
      </c>
      <c r="P212" s="3">
        <v>1</v>
      </c>
      <c r="Q212" s="3">
        <v>1</v>
      </c>
      <c r="R212" s="3">
        <v>5</v>
      </c>
      <c r="S212" s="3">
        <v>2</v>
      </c>
      <c r="T212" s="3">
        <v>4</v>
      </c>
      <c r="U212" s="3">
        <v>1</v>
      </c>
      <c r="V212" t="s">
        <v>639</v>
      </c>
      <c r="W212" t="s">
        <v>645</v>
      </c>
      <c r="X212" t="s">
        <v>650</v>
      </c>
      <c r="Y212" t="s">
        <v>651</v>
      </c>
      <c r="Z212" t="s">
        <v>656</v>
      </c>
      <c r="AA212" s="3">
        <v>12</v>
      </c>
      <c r="AB212">
        <v>1</v>
      </c>
      <c r="AC212" s="3">
        <v>2</v>
      </c>
      <c r="AD212" t="s">
        <v>657</v>
      </c>
      <c r="AE212" s="3">
        <f t="shared" si="11"/>
        <v>1.25</v>
      </c>
      <c r="AF212" s="3">
        <f>AVERAGE(E212:U212)</f>
        <v>2.875</v>
      </c>
      <c r="AG212" s="3">
        <f>AVERAGEIF($C:$C, C212, $AE:$AE)</f>
        <v>1.25</v>
      </c>
      <c r="AH212" s="3">
        <f t="shared" si="10"/>
        <v>1.625</v>
      </c>
      <c r="AI212" s="3">
        <f>IF(Table1[[#This Row],[Attendance Bracket]]="&gt;75%", 1, IF(Table1[[#This Row],[Attendance Bracket]]="50-75%", 0.8, 0.6))</f>
        <v>0.8</v>
      </c>
      <c r="AJ212" s="3">
        <v>3</v>
      </c>
      <c r="AK212" s="3" t="s">
        <v>634</v>
      </c>
      <c r="AL212" s="3">
        <f>VLOOKUP(C212,Table14[[#All],[Department]:[Publication_count]], 2, FALSE)</f>
        <v>5</v>
      </c>
      <c r="AM212" s="3">
        <v>6.3333333329999997</v>
      </c>
      <c r="AN212" s="3">
        <v>3.4743589739999998</v>
      </c>
    </row>
    <row r="213" spans="1:40" x14ac:dyDescent="0.25">
      <c r="A213" t="s">
        <v>238</v>
      </c>
      <c r="B213" t="s">
        <v>538</v>
      </c>
      <c r="C213" t="s">
        <v>629</v>
      </c>
      <c r="D213" s="5" t="s">
        <v>660</v>
      </c>
      <c r="E213" s="3">
        <v>4</v>
      </c>
      <c r="F213" s="3">
        <v>3</v>
      </c>
      <c r="G213" s="3">
        <v>4</v>
      </c>
      <c r="H213" s="3">
        <v>5</v>
      </c>
      <c r="I213" s="3">
        <v>5</v>
      </c>
      <c r="J213" s="3">
        <v>5</v>
      </c>
      <c r="K213" t="s">
        <v>632</v>
      </c>
      <c r="L213" s="3">
        <f t="shared" si="9"/>
        <v>1</v>
      </c>
      <c r="M213" s="3">
        <v>4</v>
      </c>
      <c r="N213" s="3">
        <v>4</v>
      </c>
      <c r="O213" s="3">
        <v>5</v>
      </c>
      <c r="P213" s="3">
        <v>5</v>
      </c>
      <c r="Q213" s="3">
        <v>5</v>
      </c>
      <c r="R213" s="3">
        <v>2</v>
      </c>
      <c r="S213" s="3">
        <v>2</v>
      </c>
      <c r="T213" s="3">
        <v>2</v>
      </c>
      <c r="U213" s="3">
        <v>2</v>
      </c>
      <c r="V213" t="s">
        <v>637</v>
      </c>
      <c r="W213" t="s">
        <v>642</v>
      </c>
      <c r="X213" t="s">
        <v>650</v>
      </c>
      <c r="Y213" t="s">
        <v>653</v>
      </c>
      <c r="Z213" t="s">
        <v>656</v>
      </c>
      <c r="AA213" s="3">
        <v>12</v>
      </c>
      <c r="AB213">
        <v>1</v>
      </c>
      <c r="AC213" s="3">
        <v>5</v>
      </c>
      <c r="AD213" t="s">
        <v>657</v>
      </c>
      <c r="AE213" s="3">
        <f t="shared" si="11"/>
        <v>1.25</v>
      </c>
      <c r="AF213" s="3">
        <f>AVERAGE(E213:U213)</f>
        <v>3.625</v>
      </c>
      <c r="AG213" s="3">
        <f>AVERAGEIF($C:$C, C213, $AE:$AE)</f>
        <v>1.2450000000000001</v>
      </c>
      <c r="AH213" s="3">
        <f t="shared" si="10"/>
        <v>2.38</v>
      </c>
      <c r="AI213" s="3">
        <f>IF(Table1[[#This Row],[Attendance Bracket]]="&gt;75%", 1, IF(Table1[[#This Row],[Attendance Bracket]]="50-75%", 0.8, 0.6))</f>
        <v>1</v>
      </c>
      <c r="AJ213" s="3">
        <v>1</v>
      </c>
      <c r="AK213" s="3" t="s">
        <v>684</v>
      </c>
      <c r="AL213" s="3">
        <f>VLOOKUP(C213,Table14[[#All],[Department]:[Publication_count]], 2, FALSE)</f>
        <v>3</v>
      </c>
      <c r="AM213" s="3">
        <v>4.6666666670000003</v>
      </c>
      <c r="AN213" s="3">
        <v>2.2179487180000002</v>
      </c>
    </row>
    <row r="214" spans="1:40" x14ac:dyDescent="0.25">
      <c r="A214" t="s">
        <v>239</v>
      </c>
      <c r="B214" t="s">
        <v>539</v>
      </c>
      <c r="C214" t="s">
        <v>629</v>
      </c>
      <c r="D214" s="5" t="s">
        <v>659</v>
      </c>
      <c r="E214" s="3">
        <v>1</v>
      </c>
      <c r="F214" s="3">
        <v>2</v>
      </c>
      <c r="G214" s="3">
        <v>5</v>
      </c>
      <c r="H214" s="3">
        <v>3</v>
      </c>
      <c r="I214" s="3">
        <v>4</v>
      </c>
      <c r="J214" s="3">
        <v>4</v>
      </c>
      <c r="K214" t="s">
        <v>633</v>
      </c>
      <c r="L214" s="3">
        <f t="shared" si="9"/>
        <v>2</v>
      </c>
      <c r="M214" s="3">
        <v>3</v>
      </c>
      <c r="N214" s="3">
        <v>4</v>
      </c>
      <c r="O214" s="3">
        <v>1</v>
      </c>
      <c r="P214" s="3">
        <v>3</v>
      </c>
      <c r="Q214" s="3">
        <v>4</v>
      </c>
      <c r="R214" s="3">
        <v>2</v>
      </c>
      <c r="S214" s="3">
        <v>2</v>
      </c>
      <c r="T214" s="3">
        <v>1</v>
      </c>
      <c r="U214" s="3">
        <v>4</v>
      </c>
      <c r="V214" t="s">
        <v>640</v>
      </c>
      <c r="W214" t="s">
        <v>641</v>
      </c>
      <c r="X214" t="s">
        <v>647</v>
      </c>
      <c r="Y214" t="s">
        <v>652</v>
      </c>
      <c r="Z214" t="s">
        <v>654</v>
      </c>
      <c r="AA214" s="3">
        <v>6</v>
      </c>
      <c r="AB214">
        <v>1</v>
      </c>
      <c r="AC214" s="3">
        <v>1</v>
      </c>
      <c r="AD214" t="s">
        <v>657</v>
      </c>
      <c r="AE214" s="3">
        <f t="shared" si="11"/>
        <v>1.25</v>
      </c>
      <c r="AF214" s="3">
        <f>AVERAGE(E214:U214)</f>
        <v>2.8125</v>
      </c>
      <c r="AG214" s="3">
        <f>AVERAGEIF($C:$C, C214, $AE:$AE)</f>
        <v>1.2450000000000001</v>
      </c>
      <c r="AH214" s="3">
        <f t="shared" si="10"/>
        <v>1.5674999999999999</v>
      </c>
      <c r="AI214" s="3">
        <f>IF(Table1[[#This Row],[Attendance Bracket]]="&gt;75%", 1, IF(Table1[[#This Row],[Attendance Bracket]]="50-75%", 0.8, 0.6))</f>
        <v>0.6</v>
      </c>
      <c r="AJ214" s="3">
        <v>2</v>
      </c>
      <c r="AK214" s="3" t="s">
        <v>684</v>
      </c>
      <c r="AL214" s="3">
        <f>VLOOKUP(C214,Table14[[#All],[Department]:[Publication_count]], 2, FALSE)</f>
        <v>3</v>
      </c>
      <c r="AM214" s="3">
        <v>4.6666666670000003</v>
      </c>
      <c r="AN214" s="3">
        <v>1.7179487179999999</v>
      </c>
    </row>
    <row r="215" spans="1:40" x14ac:dyDescent="0.25">
      <c r="A215" t="s">
        <v>240</v>
      </c>
      <c r="B215" t="s">
        <v>540</v>
      </c>
      <c r="C215" t="s">
        <v>627</v>
      </c>
      <c r="D215" s="5" t="s">
        <v>659</v>
      </c>
      <c r="E215" s="3">
        <v>2</v>
      </c>
      <c r="F215" s="3">
        <v>2</v>
      </c>
      <c r="G215" s="3">
        <v>1</v>
      </c>
      <c r="H215" s="3">
        <v>4</v>
      </c>
      <c r="I215" s="3">
        <v>5</v>
      </c>
      <c r="J215" s="3">
        <v>5</v>
      </c>
      <c r="K215" t="s">
        <v>635</v>
      </c>
      <c r="L215" s="3">
        <f t="shared" si="9"/>
        <v>5</v>
      </c>
      <c r="M215" s="3">
        <v>4</v>
      </c>
      <c r="N215" s="3">
        <v>3</v>
      </c>
      <c r="O215" s="3">
        <v>1</v>
      </c>
      <c r="P215" s="3">
        <v>5</v>
      </c>
      <c r="Q215" s="3">
        <v>2</v>
      </c>
      <c r="R215" s="3">
        <v>4</v>
      </c>
      <c r="S215" s="3">
        <v>4</v>
      </c>
      <c r="T215" s="3">
        <v>3</v>
      </c>
      <c r="U215" s="3">
        <v>1</v>
      </c>
      <c r="V215" t="s">
        <v>638</v>
      </c>
      <c r="W215" t="s">
        <v>642</v>
      </c>
      <c r="X215" t="s">
        <v>646</v>
      </c>
      <c r="Y215" t="s">
        <v>651</v>
      </c>
      <c r="Z215" t="s">
        <v>656</v>
      </c>
      <c r="AA215" s="3">
        <v>9</v>
      </c>
      <c r="AB215">
        <v>1</v>
      </c>
      <c r="AC215" s="3">
        <v>2</v>
      </c>
      <c r="AD215" t="s">
        <v>657</v>
      </c>
      <c r="AE215" s="3">
        <f>IF(AE217, 1.25, 1)</f>
        <v>1.25</v>
      </c>
      <c r="AF215" s="3">
        <f>AVERAGE(E215:U215)</f>
        <v>3.1875</v>
      </c>
      <c r="AG215" s="3">
        <f>AVERAGEIF($C:$C, C215, $AE:$AE)</f>
        <v>1.25</v>
      </c>
      <c r="AH215" s="3">
        <f t="shared" si="10"/>
        <v>1.9375</v>
      </c>
      <c r="AI215" s="3">
        <f>IF(Table1[[#This Row],[Attendance Bracket]]="&gt;75%", 1, IF(Table1[[#This Row],[Attendance Bracket]]="50-75%", 0.8, 0.6))</f>
        <v>0.8</v>
      </c>
      <c r="AJ215" s="3">
        <v>1</v>
      </c>
      <c r="AK215" s="3" t="s">
        <v>684</v>
      </c>
      <c r="AL215" s="3">
        <f>VLOOKUP(C215,Table14[[#All],[Department]:[Publication_count]], 2, FALSE)</f>
        <v>5</v>
      </c>
      <c r="AM215" s="3">
        <v>6.3333333329999997</v>
      </c>
      <c r="AN215" s="3">
        <v>1.974358974</v>
      </c>
    </row>
    <row r="216" spans="1:40" x14ac:dyDescent="0.25">
      <c r="A216" t="s">
        <v>241</v>
      </c>
      <c r="B216" t="s">
        <v>541</v>
      </c>
      <c r="C216" t="s">
        <v>627</v>
      </c>
      <c r="D216" s="5" t="s">
        <v>630</v>
      </c>
      <c r="E216" s="3">
        <v>4</v>
      </c>
      <c r="F216" s="3">
        <v>3</v>
      </c>
      <c r="G216" s="3">
        <v>4</v>
      </c>
      <c r="H216" s="3">
        <v>3</v>
      </c>
      <c r="I216" s="3">
        <v>1</v>
      </c>
      <c r="J216" s="3">
        <v>1</v>
      </c>
      <c r="K216" t="s">
        <v>631</v>
      </c>
      <c r="L216" s="3">
        <f t="shared" si="9"/>
        <v>4</v>
      </c>
      <c r="M216" s="3">
        <v>5</v>
      </c>
      <c r="N216" s="3">
        <v>2</v>
      </c>
      <c r="O216" s="3">
        <v>4</v>
      </c>
      <c r="P216" s="3">
        <v>1</v>
      </c>
      <c r="Q216" s="3">
        <v>5</v>
      </c>
      <c r="R216" s="3">
        <v>5</v>
      </c>
      <c r="S216" s="3">
        <v>2</v>
      </c>
      <c r="T216" s="3">
        <v>3</v>
      </c>
      <c r="U216" s="3">
        <v>4</v>
      </c>
      <c r="V216" t="s">
        <v>640</v>
      </c>
      <c r="W216" t="s">
        <v>643</v>
      </c>
      <c r="X216" t="s">
        <v>646</v>
      </c>
      <c r="Y216" t="s">
        <v>653</v>
      </c>
      <c r="Z216" t="s">
        <v>654</v>
      </c>
      <c r="AA216" s="3">
        <v>7</v>
      </c>
      <c r="AB216">
        <v>1</v>
      </c>
      <c r="AC216" s="3">
        <v>5</v>
      </c>
      <c r="AD216" t="s">
        <v>657</v>
      </c>
      <c r="AE216" s="3">
        <f>IF(AE218, 1.25, 1)</f>
        <v>1.25</v>
      </c>
      <c r="AF216" s="3">
        <f>AVERAGE(E216:U216)</f>
        <v>3.1875</v>
      </c>
      <c r="AG216" s="3">
        <f>AVERAGEIF($C:$C, C216, $AE:$AE)</f>
        <v>1.25</v>
      </c>
      <c r="AH216" s="3">
        <f t="shared" si="10"/>
        <v>1.9375</v>
      </c>
      <c r="AI216" s="3">
        <f>IF(Table1[[#This Row],[Attendance Bracket]]="&gt;75%", 1, IF(Table1[[#This Row],[Attendance Bracket]]="50-75%", 0.8, 0.6))</f>
        <v>1</v>
      </c>
      <c r="AJ216" s="3">
        <v>2</v>
      </c>
      <c r="AK216" s="3" t="s">
        <v>684</v>
      </c>
      <c r="AL216" s="3">
        <f>VLOOKUP(C216,Table14[[#All],[Department]:[Publication_count]], 2, FALSE)</f>
        <v>5</v>
      </c>
      <c r="AM216" s="3">
        <v>6.3333333329999997</v>
      </c>
      <c r="AN216" s="3">
        <v>2.4743589739999998</v>
      </c>
    </row>
    <row r="217" spans="1:40" x14ac:dyDescent="0.25">
      <c r="A217" t="s">
        <v>242</v>
      </c>
      <c r="B217" t="s">
        <v>542</v>
      </c>
      <c r="C217" t="s">
        <v>629</v>
      </c>
      <c r="D217" s="5" t="s">
        <v>659</v>
      </c>
      <c r="E217" s="3">
        <v>4</v>
      </c>
      <c r="F217" s="3">
        <v>4</v>
      </c>
      <c r="G217" s="3">
        <v>2</v>
      </c>
      <c r="H217" s="3">
        <v>5</v>
      </c>
      <c r="I217" s="3">
        <v>1</v>
      </c>
      <c r="J217" s="3">
        <v>5</v>
      </c>
      <c r="K217" t="s">
        <v>631</v>
      </c>
      <c r="L217" s="3">
        <f t="shared" si="9"/>
        <v>4</v>
      </c>
      <c r="M217" s="3">
        <v>3</v>
      </c>
      <c r="N217" s="3">
        <v>1</v>
      </c>
      <c r="O217" s="3">
        <v>3</v>
      </c>
      <c r="P217" s="3">
        <v>4</v>
      </c>
      <c r="Q217" s="3">
        <v>2</v>
      </c>
      <c r="R217" s="3">
        <v>2</v>
      </c>
      <c r="S217" s="3">
        <v>2</v>
      </c>
      <c r="T217" s="3">
        <v>4</v>
      </c>
      <c r="U217" s="3">
        <v>2</v>
      </c>
      <c r="V217" t="s">
        <v>640</v>
      </c>
      <c r="W217" t="s">
        <v>645</v>
      </c>
      <c r="X217" t="s">
        <v>646</v>
      </c>
      <c r="Y217" t="s">
        <v>652</v>
      </c>
      <c r="Z217" t="s">
        <v>656</v>
      </c>
      <c r="AA217" s="4">
        <v>5</v>
      </c>
      <c r="AB217">
        <v>0</v>
      </c>
      <c r="AC217" s="3">
        <v>2</v>
      </c>
      <c r="AD217" t="s">
        <v>657</v>
      </c>
      <c r="AE217" s="3">
        <f t="shared" si="11"/>
        <v>1.25</v>
      </c>
      <c r="AF217" s="3">
        <f>AVERAGE(E217:U217)</f>
        <v>3</v>
      </c>
      <c r="AG217" s="3">
        <f>AVERAGEIF($C:$C, C217, $AE:$AE)</f>
        <v>1.2450000000000001</v>
      </c>
      <c r="AH217" s="3">
        <f t="shared" si="10"/>
        <v>1.7549999999999999</v>
      </c>
      <c r="AI217" s="3">
        <f>IF(Table1[[#This Row],[Attendance Bracket]]="&gt;75%", 1, IF(Table1[[#This Row],[Attendance Bracket]]="50-75%", 0.8, 0.6))</f>
        <v>0.6</v>
      </c>
      <c r="AJ217" s="3">
        <v>3</v>
      </c>
      <c r="AK217" s="3" t="s">
        <v>634</v>
      </c>
      <c r="AL217" s="3">
        <f>VLOOKUP(C217,Table14[[#All],[Department]:[Publication_count]], 2, FALSE)</f>
        <v>3</v>
      </c>
      <c r="AM217" s="3">
        <v>4.6666666670000003</v>
      </c>
      <c r="AN217" s="3">
        <v>2.7179487180000002</v>
      </c>
    </row>
    <row r="218" spans="1:40" x14ac:dyDescent="0.25">
      <c r="A218" t="s">
        <v>243</v>
      </c>
      <c r="B218" t="s">
        <v>543</v>
      </c>
      <c r="C218" t="s">
        <v>629</v>
      </c>
      <c r="D218" s="5" t="s">
        <v>659</v>
      </c>
      <c r="E218" s="3">
        <v>3</v>
      </c>
      <c r="F218" s="3">
        <v>4</v>
      </c>
      <c r="G218" s="3">
        <v>2</v>
      </c>
      <c r="H218" s="3">
        <v>2</v>
      </c>
      <c r="I218" s="3">
        <v>5</v>
      </c>
      <c r="J218" s="3">
        <v>1</v>
      </c>
      <c r="K218" t="s">
        <v>632</v>
      </c>
      <c r="L218" s="3">
        <f t="shared" si="9"/>
        <v>1</v>
      </c>
      <c r="M218" s="3">
        <v>3</v>
      </c>
      <c r="N218" s="3">
        <v>1</v>
      </c>
      <c r="O218" s="3">
        <v>4</v>
      </c>
      <c r="P218" s="3">
        <v>3</v>
      </c>
      <c r="Q218" s="3">
        <v>1</v>
      </c>
      <c r="R218" s="3">
        <v>1</v>
      </c>
      <c r="S218" s="3">
        <v>3</v>
      </c>
      <c r="T218" s="3">
        <v>1</v>
      </c>
      <c r="U218" s="3">
        <v>5</v>
      </c>
      <c r="V218" t="s">
        <v>640</v>
      </c>
      <c r="W218" t="s">
        <v>641</v>
      </c>
      <c r="X218" t="s">
        <v>646</v>
      </c>
      <c r="Y218" t="s">
        <v>651</v>
      </c>
      <c r="Z218" t="s">
        <v>654</v>
      </c>
      <c r="AA218" s="3">
        <v>6</v>
      </c>
      <c r="AB218">
        <v>1</v>
      </c>
      <c r="AC218" s="3">
        <v>2</v>
      </c>
      <c r="AD218" t="s">
        <v>657</v>
      </c>
      <c r="AE218" s="3">
        <f t="shared" si="11"/>
        <v>1.25</v>
      </c>
      <c r="AF218" s="3">
        <f>AVERAGE(E218:U218)</f>
        <v>2.5</v>
      </c>
      <c r="AG218" s="3">
        <f>AVERAGEIF($C:$C, C218, $AE:$AE)</f>
        <v>1.2450000000000001</v>
      </c>
      <c r="AH218" s="3">
        <f t="shared" si="10"/>
        <v>1.2549999999999999</v>
      </c>
      <c r="AI218" s="3">
        <f>IF(Table1[[#This Row],[Attendance Bracket]]="&gt;75%", 1, IF(Table1[[#This Row],[Attendance Bracket]]="50-75%", 0.8, 0.6))</f>
        <v>0.8</v>
      </c>
      <c r="AJ218" s="3">
        <v>2</v>
      </c>
      <c r="AK218" s="3" t="s">
        <v>684</v>
      </c>
      <c r="AL218" s="3">
        <f>VLOOKUP(C218,Table14[[#All],[Department]:[Publication_count]], 2, FALSE)</f>
        <v>3</v>
      </c>
      <c r="AM218" s="3">
        <v>4.6666666670000003</v>
      </c>
      <c r="AN218" s="3">
        <v>2.7179487180000002</v>
      </c>
    </row>
    <row r="219" spans="1:40" x14ac:dyDescent="0.25">
      <c r="A219" t="s">
        <v>244</v>
      </c>
      <c r="B219" t="s">
        <v>544</v>
      </c>
      <c r="C219" t="s">
        <v>629</v>
      </c>
      <c r="D219" s="5" t="s">
        <v>660</v>
      </c>
      <c r="E219" s="3">
        <v>2</v>
      </c>
      <c r="F219" s="3">
        <v>4</v>
      </c>
      <c r="G219" s="3">
        <v>4</v>
      </c>
      <c r="H219" s="3">
        <v>5</v>
      </c>
      <c r="I219" s="3">
        <v>3</v>
      </c>
      <c r="J219" s="3">
        <v>1</v>
      </c>
      <c r="K219" t="s">
        <v>631</v>
      </c>
      <c r="L219" s="3">
        <f t="shared" si="9"/>
        <v>4</v>
      </c>
      <c r="M219" s="3">
        <v>4</v>
      </c>
      <c r="N219" s="3">
        <v>4</v>
      </c>
      <c r="O219" s="3">
        <v>3</v>
      </c>
      <c r="P219" s="3">
        <v>5</v>
      </c>
      <c r="Q219" s="3">
        <v>1</v>
      </c>
      <c r="R219" s="3">
        <v>1</v>
      </c>
      <c r="S219" s="3">
        <v>5</v>
      </c>
      <c r="T219" s="3">
        <v>3</v>
      </c>
      <c r="U219" s="3">
        <v>1</v>
      </c>
      <c r="V219" t="s">
        <v>640</v>
      </c>
      <c r="W219" t="s">
        <v>645</v>
      </c>
      <c r="X219" t="s">
        <v>648</v>
      </c>
      <c r="Y219" t="s">
        <v>653</v>
      </c>
      <c r="Z219" t="s">
        <v>656</v>
      </c>
      <c r="AA219" s="3">
        <v>13</v>
      </c>
      <c r="AB219">
        <v>0</v>
      </c>
      <c r="AC219" s="3">
        <v>1</v>
      </c>
      <c r="AD219" t="s">
        <v>657</v>
      </c>
      <c r="AE219" s="3">
        <f t="shared" si="11"/>
        <v>1.25</v>
      </c>
      <c r="AF219" s="3">
        <f>AVERAGE(E219:U219)</f>
        <v>3.125</v>
      </c>
      <c r="AG219" s="3">
        <f>AVERAGEIF($C:$C, C219, $AE:$AE)</f>
        <v>1.2450000000000001</v>
      </c>
      <c r="AH219" s="3">
        <f t="shared" si="10"/>
        <v>1.88</v>
      </c>
      <c r="AI219" s="3">
        <f>IF(Table1[[#This Row],[Attendance Bracket]]="&gt;75%", 1, IF(Table1[[#This Row],[Attendance Bracket]]="50-75%", 0.8, 0.6))</f>
        <v>1</v>
      </c>
      <c r="AJ219" s="3">
        <v>3</v>
      </c>
      <c r="AK219" s="3" t="s">
        <v>634</v>
      </c>
      <c r="AL219" s="3">
        <f>VLOOKUP(C219,Table14[[#All],[Department]:[Publication_count]], 2, FALSE)</f>
        <v>3</v>
      </c>
      <c r="AM219" s="3">
        <v>4.6666666670000003</v>
      </c>
      <c r="AN219" s="3">
        <v>2.7179487180000002</v>
      </c>
    </row>
    <row r="220" spans="1:40" x14ac:dyDescent="0.25">
      <c r="A220" t="s">
        <v>245</v>
      </c>
      <c r="B220" t="s">
        <v>545</v>
      </c>
      <c r="C220" t="s">
        <v>628</v>
      </c>
      <c r="D220" s="5" t="s">
        <v>630</v>
      </c>
      <c r="E220" s="3">
        <v>3</v>
      </c>
      <c r="F220" s="3">
        <v>5</v>
      </c>
      <c r="G220" s="3">
        <v>3</v>
      </c>
      <c r="H220" s="3">
        <v>4</v>
      </c>
      <c r="I220" s="3">
        <v>5</v>
      </c>
      <c r="J220" s="3">
        <v>1</v>
      </c>
      <c r="K220" t="s">
        <v>631</v>
      </c>
      <c r="L220" s="3">
        <f t="shared" si="9"/>
        <v>4</v>
      </c>
      <c r="M220" s="3">
        <v>1</v>
      </c>
      <c r="N220" s="3">
        <v>3</v>
      </c>
      <c r="O220" s="3">
        <v>5</v>
      </c>
      <c r="P220" s="3">
        <v>5</v>
      </c>
      <c r="Q220" s="3">
        <v>1</v>
      </c>
      <c r="R220" s="3">
        <v>4</v>
      </c>
      <c r="S220" s="3">
        <v>4</v>
      </c>
      <c r="T220" s="3">
        <v>2</v>
      </c>
      <c r="U220" s="3">
        <v>1</v>
      </c>
      <c r="V220" t="s">
        <v>637</v>
      </c>
      <c r="W220" t="s">
        <v>643</v>
      </c>
      <c r="X220" t="s">
        <v>647</v>
      </c>
      <c r="Y220" t="s">
        <v>651</v>
      </c>
      <c r="Z220" t="s">
        <v>655</v>
      </c>
      <c r="AA220" s="3">
        <v>19</v>
      </c>
      <c r="AB220">
        <v>1</v>
      </c>
      <c r="AC220" s="3">
        <v>5</v>
      </c>
      <c r="AD220" t="s">
        <v>657</v>
      </c>
      <c r="AE220" s="3">
        <f t="shared" si="11"/>
        <v>1.25</v>
      </c>
      <c r="AF220" s="3">
        <f>AVERAGE(E220:U220)</f>
        <v>3.1875</v>
      </c>
      <c r="AG220" s="3">
        <f>AVERAGEIF($C:$C, C220, $AE:$AE)</f>
        <v>1.25</v>
      </c>
      <c r="AH220" s="3">
        <f t="shared" si="10"/>
        <v>1.9375</v>
      </c>
      <c r="AI220" s="3">
        <f>IF(Table1[[#This Row],[Attendance Bracket]]="&gt;75%", 1, IF(Table1[[#This Row],[Attendance Bracket]]="50-75%", 0.8, 0.6))</f>
        <v>0.8</v>
      </c>
      <c r="AJ220" s="3">
        <v>2</v>
      </c>
      <c r="AK220" s="3" t="s">
        <v>684</v>
      </c>
      <c r="AL220" s="3">
        <f>VLOOKUP(C220,Table14[[#All],[Department]:[Publication_count]], 2, FALSE)</f>
        <v>12</v>
      </c>
      <c r="AM220" s="3">
        <v>16.25</v>
      </c>
      <c r="AN220" s="3">
        <v>5</v>
      </c>
    </row>
    <row r="221" spans="1:40" x14ac:dyDescent="0.25">
      <c r="A221" t="s">
        <v>246</v>
      </c>
      <c r="B221" t="s">
        <v>546</v>
      </c>
      <c r="C221" t="s">
        <v>628</v>
      </c>
      <c r="D221" s="5" t="s">
        <v>630</v>
      </c>
      <c r="E221" s="3">
        <v>2</v>
      </c>
      <c r="F221" s="3">
        <v>4</v>
      </c>
      <c r="G221" s="3">
        <v>2</v>
      </c>
      <c r="H221" s="3">
        <v>4</v>
      </c>
      <c r="I221" s="3">
        <v>3</v>
      </c>
      <c r="J221" s="3">
        <v>1</v>
      </c>
      <c r="K221" t="s">
        <v>633</v>
      </c>
      <c r="L221" s="3">
        <f t="shared" si="9"/>
        <v>2</v>
      </c>
      <c r="M221" s="3">
        <v>3</v>
      </c>
      <c r="N221" s="3">
        <v>2</v>
      </c>
      <c r="O221" s="3">
        <v>4</v>
      </c>
      <c r="P221" s="3">
        <v>2</v>
      </c>
      <c r="Q221" s="3">
        <v>4</v>
      </c>
      <c r="R221" s="3">
        <v>1</v>
      </c>
      <c r="S221" s="3">
        <v>2</v>
      </c>
      <c r="T221" s="3">
        <v>1</v>
      </c>
      <c r="U221" s="3">
        <v>4</v>
      </c>
      <c r="V221" t="s">
        <v>637</v>
      </c>
      <c r="W221" t="s">
        <v>643</v>
      </c>
      <c r="X221" t="s">
        <v>649</v>
      </c>
      <c r="Y221" t="s">
        <v>652</v>
      </c>
      <c r="Z221" t="s">
        <v>656</v>
      </c>
      <c r="AA221" s="3">
        <v>16</v>
      </c>
      <c r="AB221">
        <v>1</v>
      </c>
      <c r="AC221" s="3">
        <v>1</v>
      </c>
      <c r="AD221" t="s">
        <v>657</v>
      </c>
      <c r="AE221" s="3">
        <f t="shared" si="11"/>
        <v>1.25</v>
      </c>
      <c r="AF221" s="3">
        <f>AVERAGE(E221:U221)</f>
        <v>2.5625</v>
      </c>
      <c r="AG221" s="3">
        <f>AVERAGEIF($C:$C, C221, $AE:$AE)</f>
        <v>1.25</v>
      </c>
      <c r="AH221" s="3">
        <f t="shared" si="10"/>
        <v>1.3125</v>
      </c>
      <c r="AI221" s="3">
        <f>IF(Table1[[#This Row],[Attendance Bracket]]="&gt;75%", 1, IF(Table1[[#This Row],[Attendance Bracket]]="50-75%", 0.8, 0.6))</f>
        <v>0.6</v>
      </c>
      <c r="AJ221" s="3">
        <v>2</v>
      </c>
      <c r="AK221" s="3" t="s">
        <v>684</v>
      </c>
      <c r="AL221" s="3">
        <f>VLOOKUP(C221,Table14[[#All],[Department]:[Publication_count]], 2, FALSE)</f>
        <v>12</v>
      </c>
      <c r="AM221" s="3">
        <v>16.25</v>
      </c>
      <c r="AN221" s="3">
        <v>4.5</v>
      </c>
    </row>
    <row r="222" spans="1:40" x14ac:dyDescent="0.25">
      <c r="A222" t="s">
        <v>247</v>
      </c>
      <c r="B222" t="s">
        <v>547</v>
      </c>
      <c r="C222" t="s">
        <v>627</v>
      </c>
      <c r="D222" s="5" t="s">
        <v>659</v>
      </c>
      <c r="E222" s="3">
        <v>3</v>
      </c>
      <c r="F222" s="3">
        <v>4</v>
      </c>
      <c r="G222" s="3">
        <v>4</v>
      </c>
      <c r="H222" s="3">
        <v>2</v>
      </c>
      <c r="I222" s="3">
        <v>4</v>
      </c>
      <c r="J222" s="3">
        <v>1</v>
      </c>
      <c r="K222" t="s">
        <v>634</v>
      </c>
      <c r="L222" s="3">
        <f t="shared" si="9"/>
        <v>3</v>
      </c>
      <c r="M222" s="3">
        <v>2</v>
      </c>
      <c r="N222" s="3">
        <v>3</v>
      </c>
      <c r="O222" s="3">
        <v>3</v>
      </c>
      <c r="P222" s="3">
        <v>4</v>
      </c>
      <c r="Q222" s="3">
        <v>2</v>
      </c>
      <c r="R222" s="3">
        <v>5</v>
      </c>
      <c r="S222" s="3">
        <v>5</v>
      </c>
      <c r="T222" s="3">
        <v>3</v>
      </c>
      <c r="U222" s="3">
        <v>3</v>
      </c>
      <c r="V222" t="s">
        <v>640</v>
      </c>
      <c r="W222" t="s">
        <v>641</v>
      </c>
      <c r="X222" t="s">
        <v>649</v>
      </c>
      <c r="Y222" t="s">
        <v>652</v>
      </c>
      <c r="Z222" t="s">
        <v>656</v>
      </c>
      <c r="AA222" s="3">
        <v>14</v>
      </c>
      <c r="AB222">
        <v>1</v>
      </c>
      <c r="AC222" s="3">
        <v>4</v>
      </c>
      <c r="AD222" t="s">
        <v>657</v>
      </c>
      <c r="AE222" s="3">
        <f t="shared" si="11"/>
        <v>1.25</v>
      </c>
      <c r="AF222" s="3">
        <f>AVERAGE(E222:U222)</f>
        <v>3.1875</v>
      </c>
      <c r="AG222" s="3">
        <f>AVERAGEIF($C:$C, C222, $AE:$AE)</f>
        <v>1.25</v>
      </c>
      <c r="AH222" s="3">
        <f t="shared" si="10"/>
        <v>1.9375</v>
      </c>
      <c r="AI222" s="3">
        <f>IF(Table1[[#This Row],[Attendance Bracket]]="&gt;75%", 1, IF(Table1[[#This Row],[Attendance Bracket]]="50-75%", 0.8, 0.6))</f>
        <v>0.6</v>
      </c>
      <c r="AJ222" s="3">
        <v>2</v>
      </c>
      <c r="AK222" s="3" t="s">
        <v>684</v>
      </c>
      <c r="AL222" s="3">
        <f>VLOOKUP(C222,Table14[[#All],[Department]:[Publication_count]], 2, FALSE)</f>
        <v>5</v>
      </c>
      <c r="AM222" s="3">
        <v>6.3333333329999997</v>
      </c>
      <c r="AN222" s="3">
        <v>2.9743589739999998</v>
      </c>
    </row>
    <row r="223" spans="1:40" x14ac:dyDescent="0.25">
      <c r="A223" t="s">
        <v>248</v>
      </c>
      <c r="B223" t="s">
        <v>548</v>
      </c>
      <c r="C223" t="s">
        <v>627</v>
      </c>
      <c r="D223" s="5" t="s">
        <v>630</v>
      </c>
      <c r="E223" s="3">
        <v>3</v>
      </c>
      <c r="F223" s="3">
        <v>5</v>
      </c>
      <c r="G223" s="3">
        <v>1</v>
      </c>
      <c r="H223" s="3">
        <v>5</v>
      </c>
      <c r="I223" s="3">
        <v>1</v>
      </c>
      <c r="J223" s="3">
        <v>1</v>
      </c>
      <c r="K223" t="s">
        <v>633</v>
      </c>
      <c r="L223" s="3">
        <f t="shared" si="9"/>
        <v>2</v>
      </c>
      <c r="M223" s="3">
        <v>4</v>
      </c>
      <c r="N223" s="3">
        <v>5</v>
      </c>
      <c r="O223" s="3">
        <v>4</v>
      </c>
      <c r="P223" s="3">
        <v>2</v>
      </c>
      <c r="Q223" s="3">
        <v>5</v>
      </c>
      <c r="R223" s="3">
        <v>2</v>
      </c>
      <c r="S223" s="3">
        <v>3</v>
      </c>
      <c r="T223" s="3">
        <v>5</v>
      </c>
      <c r="U223" s="3">
        <v>1</v>
      </c>
      <c r="V223" t="s">
        <v>639</v>
      </c>
      <c r="W223" t="s">
        <v>644</v>
      </c>
      <c r="X223" t="s">
        <v>647</v>
      </c>
      <c r="Y223" t="s">
        <v>653</v>
      </c>
      <c r="Z223" t="s">
        <v>654</v>
      </c>
      <c r="AA223" s="3">
        <v>8</v>
      </c>
      <c r="AB223">
        <v>1</v>
      </c>
      <c r="AC223" s="3">
        <v>3</v>
      </c>
      <c r="AD223" t="s">
        <v>657</v>
      </c>
      <c r="AE223" s="3">
        <f t="shared" si="11"/>
        <v>1.25</v>
      </c>
      <c r="AF223" s="3">
        <f>AVERAGE(E223:U223)</f>
        <v>3.0625</v>
      </c>
      <c r="AG223" s="3">
        <f>AVERAGEIF($C:$C, C223, $AE:$AE)</f>
        <v>1.25</v>
      </c>
      <c r="AH223" s="3">
        <f t="shared" si="10"/>
        <v>1.8125</v>
      </c>
      <c r="AI223" s="3">
        <f>IF(Table1[[#This Row],[Attendance Bracket]]="&gt;75%", 1, IF(Table1[[#This Row],[Attendance Bracket]]="50-75%", 0.8, 0.6))</f>
        <v>1</v>
      </c>
      <c r="AJ223" s="3">
        <v>2</v>
      </c>
      <c r="AK223" s="3" t="s">
        <v>684</v>
      </c>
      <c r="AL223" s="3">
        <f>VLOOKUP(C223,Table14[[#All],[Department]:[Publication_count]], 2, FALSE)</f>
        <v>5</v>
      </c>
      <c r="AM223" s="3">
        <v>6.3333333329999997</v>
      </c>
      <c r="AN223" s="3">
        <v>3.4743589739999998</v>
      </c>
    </row>
    <row r="224" spans="1:40" x14ac:dyDescent="0.25">
      <c r="A224" t="s">
        <v>249</v>
      </c>
      <c r="B224" t="s">
        <v>549</v>
      </c>
      <c r="C224" t="s">
        <v>628</v>
      </c>
      <c r="D224" s="5" t="s">
        <v>659</v>
      </c>
      <c r="E224" s="3">
        <v>5</v>
      </c>
      <c r="F224" s="3">
        <v>3</v>
      </c>
      <c r="G224" s="3">
        <v>5</v>
      </c>
      <c r="H224" s="3">
        <v>5</v>
      </c>
      <c r="I224" s="3">
        <v>5</v>
      </c>
      <c r="J224" s="3">
        <v>5</v>
      </c>
      <c r="K224" t="s">
        <v>632</v>
      </c>
      <c r="L224" s="3">
        <f t="shared" si="9"/>
        <v>1</v>
      </c>
      <c r="M224" s="3">
        <v>4</v>
      </c>
      <c r="N224" s="3">
        <v>5</v>
      </c>
      <c r="O224" s="3">
        <v>1</v>
      </c>
      <c r="P224" s="3">
        <v>4</v>
      </c>
      <c r="Q224" s="3">
        <v>5</v>
      </c>
      <c r="R224" s="3">
        <v>5</v>
      </c>
      <c r="S224" s="3">
        <v>3</v>
      </c>
      <c r="T224" s="3">
        <v>1</v>
      </c>
      <c r="U224" s="3">
        <v>3</v>
      </c>
      <c r="V224" t="s">
        <v>636</v>
      </c>
      <c r="W224" t="s">
        <v>644</v>
      </c>
      <c r="X224" t="s">
        <v>647</v>
      </c>
      <c r="Y224" t="s">
        <v>651</v>
      </c>
      <c r="Z224" t="s">
        <v>655</v>
      </c>
      <c r="AA224" s="3">
        <v>8</v>
      </c>
      <c r="AB224">
        <v>0</v>
      </c>
      <c r="AC224" s="3">
        <v>1</v>
      </c>
      <c r="AD224" t="s">
        <v>657</v>
      </c>
      <c r="AE224" s="3">
        <f t="shared" si="11"/>
        <v>1.25</v>
      </c>
      <c r="AF224" s="3">
        <f>AVERAGE(E224:U224)</f>
        <v>3.75</v>
      </c>
      <c r="AG224" s="3">
        <f>AVERAGEIF($C:$C, C224, $AE:$AE)</f>
        <v>1.25</v>
      </c>
      <c r="AH224" s="3">
        <f t="shared" si="10"/>
        <v>2.5</v>
      </c>
      <c r="AI224" s="3">
        <f>IF(Table1[[#This Row],[Attendance Bracket]]="&gt;75%", 1, IF(Table1[[#This Row],[Attendance Bracket]]="50-75%", 0.8, 0.6))</f>
        <v>0.8</v>
      </c>
      <c r="AJ224" s="3">
        <v>2</v>
      </c>
      <c r="AK224" s="3" t="s">
        <v>684</v>
      </c>
      <c r="AL224" s="3">
        <f>VLOOKUP(C224,Table14[[#All],[Department]:[Publication_count]], 2, FALSE)</f>
        <v>12</v>
      </c>
      <c r="AM224" s="3">
        <v>16.25</v>
      </c>
      <c r="AN224" s="3">
        <v>4</v>
      </c>
    </row>
    <row r="225" spans="1:40" x14ac:dyDescent="0.25">
      <c r="A225" t="s">
        <v>250</v>
      </c>
      <c r="B225" t="s">
        <v>550</v>
      </c>
      <c r="C225" t="s">
        <v>628</v>
      </c>
      <c r="D225" s="5" t="s">
        <v>660</v>
      </c>
      <c r="E225" s="3">
        <v>3</v>
      </c>
      <c r="F225" s="3">
        <v>5</v>
      </c>
      <c r="G225" s="3">
        <v>3</v>
      </c>
      <c r="H225" s="3">
        <v>2</v>
      </c>
      <c r="I225" s="3">
        <v>3</v>
      </c>
      <c r="J225" s="3">
        <v>2</v>
      </c>
      <c r="K225" t="s">
        <v>632</v>
      </c>
      <c r="L225" s="3">
        <f t="shared" si="9"/>
        <v>1</v>
      </c>
      <c r="M225" s="3">
        <v>1</v>
      </c>
      <c r="N225" s="3">
        <v>5</v>
      </c>
      <c r="O225" s="3">
        <v>1</v>
      </c>
      <c r="P225" s="3">
        <v>3</v>
      </c>
      <c r="Q225" s="3">
        <v>3</v>
      </c>
      <c r="R225" s="3">
        <v>5</v>
      </c>
      <c r="S225" s="3">
        <v>4</v>
      </c>
      <c r="T225" s="3">
        <v>4</v>
      </c>
      <c r="U225" s="3">
        <v>5</v>
      </c>
      <c r="V225" t="s">
        <v>636</v>
      </c>
      <c r="W225" t="s">
        <v>643</v>
      </c>
      <c r="X225" t="s">
        <v>649</v>
      </c>
      <c r="Y225" t="s">
        <v>651</v>
      </c>
      <c r="Z225" t="s">
        <v>654</v>
      </c>
      <c r="AA225" s="3">
        <v>12</v>
      </c>
      <c r="AB225">
        <v>1</v>
      </c>
      <c r="AC225" s="3">
        <v>1</v>
      </c>
      <c r="AD225" t="s">
        <v>657</v>
      </c>
      <c r="AE225" s="3">
        <f t="shared" si="11"/>
        <v>1.25</v>
      </c>
      <c r="AF225" s="3">
        <f>AVERAGE(E225:U225)</f>
        <v>3.125</v>
      </c>
      <c r="AG225" s="3">
        <f>AVERAGEIF($C:$C, C225, $AE:$AE)</f>
        <v>1.25</v>
      </c>
      <c r="AH225" s="3">
        <f t="shared" si="10"/>
        <v>1.875</v>
      </c>
      <c r="AI225" s="3">
        <f>IF(Table1[[#This Row],[Attendance Bracket]]="&gt;75%", 1, IF(Table1[[#This Row],[Attendance Bracket]]="50-75%", 0.8, 0.6))</f>
        <v>0.8</v>
      </c>
      <c r="AJ225" s="3">
        <v>2</v>
      </c>
      <c r="AK225" s="3" t="s">
        <v>684</v>
      </c>
      <c r="AL225" s="3">
        <f>VLOOKUP(C225,Table14[[#All],[Department]:[Publication_count]], 2, FALSE)</f>
        <v>12</v>
      </c>
      <c r="AM225" s="3">
        <v>16.25</v>
      </c>
      <c r="AN225" s="3">
        <v>5</v>
      </c>
    </row>
    <row r="226" spans="1:40" x14ac:dyDescent="0.25">
      <c r="A226" t="s">
        <v>251</v>
      </c>
      <c r="B226" t="s">
        <v>551</v>
      </c>
      <c r="C226" t="s">
        <v>628</v>
      </c>
      <c r="D226" s="5" t="s">
        <v>660</v>
      </c>
      <c r="E226" s="3">
        <v>5</v>
      </c>
      <c r="F226" s="3">
        <v>1</v>
      </c>
      <c r="G226" s="3">
        <v>2</v>
      </c>
      <c r="H226" s="3">
        <v>2</v>
      </c>
      <c r="I226" s="3">
        <v>5</v>
      </c>
      <c r="J226" s="3">
        <v>4</v>
      </c>
      <c r="K226" t="s">
        <v>635</v>
      </c>
      <c r="L226" s="3">
        <f t="shared" si="9"/>
        <v>5</v>
      </c>
      <c r="M226" s="3">
        <v>4</v>
      </c>
      <c r="N226" s="3">
        <v>4</v>
      </c>
      <c r="O226" s="3">
        <v>2</v>
      </c>
      <c r="P226" s="3">
        <v>5</v>
      </c>
      <c r="Q226" s="3">
        <v>2</v>
      </c>
      <c r="R226" s="3">
        <v>2</v>
      </c>
      <c r="S226" s="3">
        <v>1</v>
      </c>
      <c r="T226" s="3">
        <v>5</v>
      </c>
      <c r="U226" s="3">
        <v>3</v>
      </c>
      <c r="V226" t="s">
        <v>638</v>
      </c>
      <c r="W226" t="s">
        <v>641</v>
      </c>
      <c r="X226" t="s">
        <v>649</v>
      </c>
      <c r="Y226" t="s">
        <v>652</v>
      </c>
      <c r="Z226" t="s">
        <v>655</v>
      </c>
      <c r="AA226" s="3">
        <v>16</v>
      </c>
      <c r="AB226">
        <v>0</v>
      </c>
      <c r="AC226" s="3">
        <v>1</v>
      </c>
      <c r="AD226" t="s">
        <v>657</v>
      </c>
      <c r="AE226" s="3">
        <f t="shared" si="11"/>
        <v>1.25</v>
      </c>
      <c r="AF226" s="3">
        <f>AVERAGE(E226:U226)</f>
        <v>3.25</v>
      </c>
      <c r="AG226" s="3">
        <f>AVERAGEIF($C:$C, C226, $AE:$AE)</f>
        <v>1.25</v>
      </c>
      <c r="AH226" s="3">
        <f t="shared" si="10"/>
        <v>2</v>
      </c>
      <c r="AI226" s="3">
        <f>IF(Table1[[#This Row],[Attendance Bracket]]="&gt;75%", 1, IF(Table1[[#This Row],[Attendance Bracket]]="50-75%", 0.8, 0.6))</f>
        <v>0.6</v>
      </c>
      <c r="AJ226" s="3">
        <v>2</v>
      </c>
      <c r="AK226" s="3" t="s">
        <v>684</v>
      </c>
      <c r="AL226" s="3">
        <f>VLOOKUP(C226,Table14[[#All],[Department]:[Publication_count]], 2, FALSE)</f>
        <v>12</v>
      </c>
      <c r="AM226" s="3">
        <v>16.25</v>
      </c>
      <c r="AN226" s="3">
        <v>3</v>
      </c>
    </row>
    <row r="227" spans="1:40" x14ac:dyDescent="0.25">
      <c r="A227" t="s">
        <v>252</v>
      </c>
      <c r="B227" t="s">
        <v>552</v>
      </c>
      <c r="C227" t="s">
        <v>629</v>
      </c>
      <c r="D227" s="5" t="s">
        <v>659</v>
      </c>
      <c r="E227" s="3">
        <v>2</v>
      </c>
      <c r="F227" s="3">
        <v>1</v>
      </c>
      <c r="G227" s="3">
        <v>5</v>
      </c>
      <c r="H227" s="3">
        <v>4</v>
      </c>
      <c r="I227" s="3">
        <v>5</v>
      </c>
      <c r="J227" s="3">
        <v>2</v>
      </c>
      <c r="K227" t="s">
        <v>632</v>
      </c>
      <c r="L227" s="3">
        <f t="shared" si="9"/>
        <v>1</v>
      </c>
      <c r="M227" s="3">
        <v>1</v>
      </c>
      <c r="N227" s="3">
        <v>5</v>
      </c>
      <c r="O227" s="3">
        <v>3</v>
      </c>
      <c r="P227" s="3">
        <v>3</v>
      </c>
      <c r="Q227" s="3">
        <v>4</v>
      </c>
      <c r="R227" s="3">
        <v>2</v>
      </c>
      <c r="S227" s="3">
        <v>2</v>
      </c>
      <c r="T227" s="3">
        <v>1</v>
      </c>
      <c r="U227" s="3">
        <v>5</v>
      </c>
      <c r="V227" t="s">
        <v>637</v>
      </c>
      <c r="W227" t="s">
        <v>644</v>
      </c>
      <c r="X227" t="s">
        <v>650</v>
      </c>
      <c r="Y227" t="s">
        <v>652</v>
      </c>
      <c r="Z227" t="s">
        <v>655</v>
      </c>
      <c r="AA227" s="3">
        <v>12</v>
      </c>
      <c r="AB227">
        <v>0</v>
      </c>
      <c r="AC227" s="3">
        <v>2</v>
      </c>
      <c r="AD227" t="s">
        <v>657</v>
      </c>
      <c r="AE227" s="3">
        <f>IF(AE229, 1.25, 1)</f>
        <v>1.25</v>
      </c>
      <c r="AF227" s="3">
        <f>AVERAGE(E227:U227)</f>
        <v>2.875</v>
      </c>
      <c r="AG227" s="3">
        <f>AVERAGEIF($C:$C, C227, $AE:$AE)</f>
        <v>1.2450000000000001</v>
      </c>
      <c r="AH227" s="3">
        <f t="shared" si="10"/>
        <v>1.63</v>
      </c>
      <c r="AI227" s="3">
        <f>IF(Table1[[#This Row],[Attendance Bracket]]="&gt;75%", 1, IF(Table1[[#This Row],[Attendance Bracket]]="50-75%", 0.8, 0.6))</f>
        <v>0.6</v>
      </c>
      <c r="AJ227" s="3">
        <v>2</v>
      </c>
      <c r="AK227" s="3" t="s">
        <v>684</v>
      </c>
      <c r="AL227" s="3">
        <f>VLOOKUP(C227,Table14[[#All],[Department]:[Publication_count]], 2, FALSE)</f>
        <v>3</v>
      </c>
      <c r="AM227" s="3">
        <v>4.6666666670000003</v>
      </c>
      <c r="AN227" s="3">
        <v>1.2179487179999999</v>
      </c>
    </row>
    <row r="228" spans="1:40" x14ac:dyDescent="0.25">
      <c r="A228" t="s">
        <v>253</v>
      </c>
      <c r="B228" t="s">
        <v>553</v>
      </c>
      <c r="C228" t="s">
        <v>628</v>
      </c>
      <c r="D228" s="5" t="s">
        <v>660</v>
      </c>
      <c r="E228" s="3">
        <v>2</v>
      </c>
      <c r="F228" s="3">
        <v>3</v>
      </c>
      <c r="G228" s="3">
        <v>4</v>
      </c>
      <c r="H228" s="3">
        <v>2</v>
      </c>
      <c r="I228" s="3">
        <v>3</v>
      </c>
      <c r="J228" s="3">
        <v>4</v>
      </c>
      <c r="K228" t="s">
        <v>633</v>
      </c>
      <c r="L228" s="3">
        <f t="shared" si="9"/>
        <v>2</v>
      </c>
      <c r="M228" s="3">
        <v>3</v>
      </c>
      <c r="N228" s="3">
        <v>3</v>
      </c>
      <c r="O228" s="3">
        <v>4</v>
      </c>
      <c r="P228" s="3">
        <v>5</v>
      </c>
      <c r="Q228" s="3">
        <v>1</v>
      </c>
      <c r="R228" s="3">
        <v>4</v>
      </c>
      <c r="S228" s="3">
        <v>3</v>
      </c>
      <c r="T228" s="3">
        <v>2</v>
      </c>
      <c r="U228" s="3">
        <v>5</v>
      </c>
      <c r="V228" t="s">
        <v>638</v>
      </c>
      <c r="W228" t="s">
        <v>643</v>
      </c>
      <c r="X228" t="s">
        <v>646</v>
      </c>
      <c r="Y228" t="s">
        <v>653</v>
      </c>
      <c r="Z228" t="s">
        <v>654</v>
      </c>
      <c r="AA228" s="3">
        <v>6</v>
      </c>
      <c r="AB228">
        <v>1</v>
      </c>
      <c r="AC228" s="3">
        <v>3</v>
      </c>
      <c r="AD228" t="s">
        <v>657</v>
      </c>
      <c r="AE228" s="3">
        <f>IF(AE230, 1.25, 1)</f>
        <v>1.25</v>
      </c>
      <c r="AF228" s="3">
        <f>AVERAGE(E228:U228)</f>
        <v>3.125</v>
      </c>
      <c r="AG228" s="3">
        <f>AVERAGEIF($C:$C, C228, $AE:$AE)</f>
        <v>1.25</v>
      </c>
      <c r="AH228" s="3">
        <f t="shared" si="10"/>
        <v>1.875</v>
      </c>
      <c r="AI228" s="3">
        <f>IF(Table1[[#This Row],[Attendance Bracket]]="&gt;75%", 1, IF(Table1[[#This Row],[Attendance Bracket]]="50-75%", 0.8, 0.6))</f>
        <v>1</v>
      </c>
      <c r="AJ228" s="3">
        <v>2</v>
      </c>
      <c r="AK228" s="3" t="s">
        <v>684</v>
      </c>
      <c r="AL228" s="3">
        <f>VLOOKUP(C228,Table14[[#All],[Department]:[Publication_count]], 2, FALSE)</f>
        <v>12</v>
      </c>
      <c r="AM228" s="3">
        <v>16.25</v>
      </c>
      <c r="AN228" s="3">
        <v>4</v>
      </c>
    </row>
    <row r="229" spans="1:40" x14ac:dyDescent="0.25">
      <c r="A229" t="s">
        <v>254</v>
      </c>
      <c r="B229" t="s">
        <v>554</v>
      </c>
      <c r="C229" t="s">
        <v>629</v>
      </c>
      <c r="D229" s="5" t="s">
        <v>659</v>
      </c>
      <c r="E229" s="3">
        <v>4</v>
      </c>
      <c r="F229" s="3">
        <v>2</v>
      </c>
      <c r="G229" s="3">
        <v>5</v>
      </c>
      <c r="H229" s="3">
        <v>3</v>
      </c>
      <c r="I229" s="3">
        <v>1</v>
      </c>
      <c r="J229" s="3">
        <v>1</v>
      </c>
      <c r="K229" t="s">
        <v>632</v>
      </c>
      <c r="L229" s="3">
        <f t="shared" si="9"/>
        <v>1</v>
      </c>
      <c r="M229" s="3">
        <v>5</v>
      </c>
      <c r="N229" s="3">
        <v>3</v>
      </c>
      <c r="O229" s="3">
        <v>4</v>
      </c>
      <c r="P229" s="3">
        <v>3</v>
      </c>
      <c r="Q229" s="3">
        <v>1</v>
      </c>
      <c r="R229" s="3">
        <v>5</v>
      </c>
      <c r="S229" s="3">
        <v>3</v>
      </c>
      <c r="T229" s="3">
        <v>2</v>
      </c>
      <c r="U229" s="3">
        <v>3</v>
      </c>
      <c r="V229" t="s">
        <v>638</v>
      </c>
      <c r="W229" t="s">
        <v>645</v>
      </c>
      <c r="X229" t="s">
        <v>648</v>
      </c>
      <c r="Y229" t="s">
        <v>651</v>
      </c>
      <c r="Z229" t="s">
        <v>655</v>
      </c>
      <c r="AA229" s="4">
        <v>5</v>
      </c>
      <c r="AB229">
        <v>0</v>
      </c>
      <c r="AC229" s="3">
        <v>1</v>
      </c>
      <c r="AD229" t="s">
        <v>657</v>
      </c>
      <c r="AE229" s="3">
        <f t="shared" si="11"/>
        <v>1.25</v>
      </c>
      <c r="AF229" s="3">
        <f>AVERAGE(E229:U229)</f>
        <v>2.875</v>
      </c>
      <c r="AG229" s="3">
        <f>AVERAGEIF($C:$C, C229, $AE:$AE)</f>
        <v>1.2450000000000001</v>
      </c>
      <c r="AH229" s="3">
        <f t="shared" si="10"/>
        <v>1.63</v>
      </c>
      <c r="AI229" s="3">
        <f>IF(Table1[[#This Row],[Attendance Bracket]]="&gt;75%", 1, IF(Table1[[#This Row],[Attendance Bracket]]="50-75%", 0.8, 0.6))</f>
        <v>0.8</v>
      </c>
      <c r="AJ229" s="3">
        <v>3</v>
      </c>
      <c r="AK229" s="3" t="s">
        <v>634</v>
      </c>
      <c r="AL229" s="3">
        <f>VLOOKUP(C229,Table14[[#All],[Department]:[Publication_count]], 2, FALSE)</f>
        <v>3</v>
      </c>
      <c r="AM229" s="3">
        <v>4.6666666670000003</v>
      </c>
      <c r="AN229" s="3">
        <v>1.7179487179999999</v>
      </c>
    </row>
    <row r="230" spans="1:40" x14ac:dyDescent="0.25">
      <c r="A230" t="s">
        <v>255</v>
      </c>
      <c r="B230" t="s">
        <v>555</v>
      </c>
      <c r="C230" t="s">
        <v>628</v>
      </c>
      <c r="D230" s="5" t="s">
        <v>659</v>
      </c>
      <c r="E230" s="3">
        <v>2</v>
      </c>
      <c r="F230" s="3">
        <v>2</v>
      </c>
      <c r="G230" s="3">
        <v>1</v>
      </c>
      <c r="H230" s="3">
        <v>2</v>
      </c>
      <c r="I230" s="3">
        <v>1</v>
      </c>
      <c r="J230" s="3">
        <v>3</v>
      </c>
      <c r="K230" t="s">
        <v>633</v>
      </c>
      <c r="L230" s="3">
        <f t="shared" si="9"/>
        <v>2</v>
      </c>
      <c r="M230" s="3">
        <v>3</v>
      </c>
      <c r="N230" s="3">
        <v>3</v>
      </c>
      <c r="O230" s="3">
        <v>1</v>
      </c>
      <c r="P230" s="3">
        <v>3</v>
      </c>
      <c r="Q230" s="3">
        <v>4</v>
      </c>
      <c r="R230" s="3">
        <v>1</v>
      </c>
      <c r="S230" s="3">
        <v>5</v>
      </c>
      <c r="T230" s="3">
        <v>1</v>
      </c>
      <c r="U230" s="3">
        <v>2</v>
      </c>
      <c r="V230" t="s">
        <v>638</v>
      </c>
      <c r="W230" t="s">
        <v>643</v>
      </c>
      <c r="X230" t="s">
        <v>647</v>
      </c>
      <c r="Y230" t="s">
        <v>652</v>
      </c>
      <c r="Z230" t="s">
        <v>655</v>
      </c>
      <c r="AA230" s="3">
        <v>19</v>
      </c>
      <c r="AB230">
        <v>1</v>
      </c>
      <c r="AC230" s="3">
        <v>2</v>
      </c>
      <c r="AD230" t="s">
        <v>657</v>
      </c>
      <c r="AE230" s="3">
        <f t="shared" si="11"/>
        <v>1.25</v>
      </c>
      <c r="AF230" s="3">
        <f>AVERAGE(E230:U230)</f>
        <v>2.25</v>
      </c>
      <c r="AG230" s="3">
        <f>AVERAGEIF($C:$C, C230, $AE:$AE)</f>
        <v>1.25</v>
      </c>
      <c r="AH230" s="3">
        <f t="shared" si="10"/>
        <v>1</v>
      </c>
      <c r="AI230" s="3">
        <f>IF(Table1[[#This Row],[Attendance Bracket]]="&gt;75%", 1, IF(Table1[[#This Row],[Attendance Bracket]]="50-75%", 0.8, 0.6))</f>
        <v>0.6</v>
      </c>
      <c r="AJ230" s="3">
        <v>2</v>
      </c>
      <c r="AK230" s="3" t="s">
        <v>684</v>
      </c>
      <c r="AL230" s="3">
        <f>VLOOKUP(C230,Table14[[#All],[Department]:[Publication_count]], 2, FALSE)</f>
        <v>12</v>
      </c>
      <c r="AM230" s="3">
        <v>16.25</v>
      </c>
      <c r="AN230" s="3">
        <v>3.5</v>
      </c>
    </row>
    <row r="231" spans="1:40" x14ac:dyDescent="0.25">
      <c r="A231" t="s">
        <v>256</v>
      </c>
      <c r="B231" t="s">
        <v>556</v>
      </c>
      <c r="C231" t="s">
        <v>627</v>
      </c>
      <c r="D231" s="5" t="s">
        <v>659</v>
      </c>
      <c r="E231" s="3">
        <v>4</v>
      </c>
      <c r="F231" s="3">
        <v>1</v>
      </c>
      <c r="G231" s="3">
        <v>5</v>
      </c>
      <c r="H231" s="3">
        <v>4</v>
      </c>
      <c r="I231" s="3">
        <v>2</v>
      </c>
      <c r="J231" s="3">
        <v>2</v>
      </c>
      <c r="K231" t="s">
        <v>634</v>
      </c>
      <c r="L231" s="3">
        <f t="shared" si="9"/>
        <v>3</v>
      </c>
      <c r="M231" s="3">
        <v>1</v>
      </c>
      <c r="N231" s="3">
        <v>2</v>
      </c>
      <c r="O231" s="3">
        <v>4</v>
      </c>
      <c r="P231" s="3">
        <v>2</v>
      </c>
      <c r="Q231" s="3">
        <v>5</v>
      </c>
      <c r="R231" s="3">
        <v>4</v>
      </c>
      <c r="S231" s="3">
        <v>1</v>
      </c>
      <c r="T231" s="3">
        <v>3</v>
      </c>
      <c r="U231" s="3">
        <v>2</v>
      </c>
      <c r="V231" t="s">
        <v>636</v>
      </c>
      <c r="W231" t="s">
        <v>645</v>
      </c>
      <c r="X231" t="s">
        <v>648</v>
      </c>
      <c r="Y231" t="s">
        <v>653</v>
      </c>
      <c r="Z231" t="s">
        <v>655</v>
      </c>
      <c r="AA231" s="3">
        <v>11</v>
      </c>
      <c r="AB231">
        <v>1</v>
      </c>
      <c r="AC231" s="3">
        <v>4</v>
      </c>
      <c r="AD231" t="s">
        <v>657</v>
      </c>
      <c r="AE231" s="3">
        <f t="shared" si="11"/>
        <v>1.25</v>
      </c>
      <c r="AF231" s="3">
        <f>AVERAGE(E231:U231)</f>
        <v>2.8125</v>
      </c>
      <c r="AG231" s="3">
        <f>AVERAGEIF($C:$C, C231, $AE:$AE)</f>
        <v>1.25</v>
      </c>
      <c r="AH231" s="3">
        <f t="shared" si="10"/>
        <v>1.5625</v>
      </c>
      <c r="AI231" s="3">
        <f>IF(Table1[[#This Row],[Attendance Bracket]]="&gt;75%", 1, IF(Table1[[#This Row],[Attendance Bracket]]="50-75%", 0.8, 0.6))</f>
        <v>1</v>
      </c>
      <c r="AJ231" s="3">
        <v>3</v>
      </c>
      <c r="AK231" s="3" t="s">
        <v>634</v>
      </c>
      <c r="AL231" s="3">
        <f>VLOOKUP(C231,Table14[[#All],[Department]:[Publication_count]], 2, FALSE)</f>
        <v>5</v>
      </c>
      <c r="AM231" s="3">
        <v>6.3333333329999997</v>
      </c>
      <c r="AN231" s="3">
        <v>1.474358974</v>
      </c>
    </row>
    <row r="232" spans="1:40" x14ac:dyDescent="0.25">
      <c r="A232" t="s">
        <v>257</v>
      </c>
      <c r="B232" t="s">
        <v>557</v>
      </c>
      <c r="C232" t="s">
        <v>627</v>
      </c>
      <c r="D232" s="5" t="s">
        <v>659</v>
      </c>
      <c r="E232" s="3">
        <v>3</v>
      </c>
      <c r="F232" s="3">
        <v>3</v>
      </c>
      <c r="G232" s="3">
        <v>2</v>
      </c>
      <c r="H232" s="3">
        <v>3</v>
      </c>
      <c r="I232" s="3">
        <v>5</v>
      </c>
      <c r="J232" s="3">
        <v>2</v>
      </c>
      <c r="K232" t="s">
        <v>634</v>
      </c>
      <c r="L232" s="3">
        <f t="shared" si="9"/>
        <v>3</v>
      </c>
      <c r="M232" s="3">
        <v>3</v>
      </c>
      <c r="N232" s="3">
        <v>5</v>
      </c>
      <c r="O232" s="3">
        <v>2</v>
      </c>
      <c r="P232" s="3">
        <v>2</v>
      </c>
      <c r="Q232" s="3">
        <v>3</v>
      </c>
      <c r="R232" s="3">
        <v>3</v>
      </c>
      <c r="S232" s="3">
        <v>3</v>
      </c>
      <c r="T232" s="3">
        <v>1</v>
      </c>
      <c r="U232" s="3">
        <v>5</v>
      </c>
      <c r="V232" t="s">
        <v>637</v>
      </c>
      <c r="W232" t="s">
        <v>641</v>
      </c>
      <c r="X232" t="s">
        <v>646</v>
      </c>
      <c r="Y232" t="s">
        <v>651</v>
      </c>
      <c r="Z232" t="s">
        <v>654</v>
      </c>
      <c r="AA232" s="3">
        <v>7</v>
      </c>
      <c r="AB232">
        <v>1</v>
      </c>
      <c r="AC232" s="3">
        <v>3</v>
      </c>
      <c r="AD232" t="s">
        <v>657</v>
      </c>
      <c r="AE232" s="3">
        <f t="shared" si="11"/>
        <v>1.25</v>
      </c>
      <c r="AF232" s="3">
        <f>AVERAGE(E232:U232)</f>
        <v>3</v>
      </c>
      <c r="AG232" s="3">
        <f>AVERAGEIF($C:$C, C232, $AE:$AE)</f>
        <v>1.25</v>
      </c>
      <c r="AH232" s="3">
        <f t="shared" si="10"/>
        <v>1.75</v>
      </c>
      <c r="AI232" s="3">
        <f>IF(Table1[[#This Row],[Attendance Bracket]]="&gt;75%", 1, IF(Table1[[#This Row],[Attendance Bracket]]="50-75%", 0.8, 0.6))</f>
        <v>0.8</v>
      </c>
      <c r="AJ232" s="3">
        <v>2</v>
      </c>
      <c r="AK232" s="3" t="s">
        <v>684</v>
      </c>
      <c r="AL232" s="3">
        <f>VLOOKUP(C232,Table14[[#All],[Department]:[Publication_count]], 2, FALSE)</f>
        <v>5</v>
      </c>
      <c r="AM232" s="3">
        <v>6.3333333329999997</v>
      </c>
      <c r="AN232" s="3">
        <v>2.4743589739999998</v>
      </c>
    </row>
    <row r="233" spans="1:40" x14ac:dyDescent="0.25">
      <c r="A233" t="s">
        <v>258</v>
      </c>
      <c r="B233" t="s">
        <v>558</v>
      </c>
      <c r="C233" t="s">
        <v>627</v>
      </c>
      <c r="D233" s="5" t="s">
        <v>659</v>
      </c>
      <c r="E233" s="3">
        <v>2</v>
      </c>
      <c r="F233" s="3">
        <v>3</v>
      </c>
      <c r="G233" s="3">
        <v>1</v>
      </c>
      <c r="H233" s="3">
        <v>5</v>
      </c>
      <c r="I233" s="3">
        <v>1</v>
      </c>
      <c r="J233" s="3">
        <v>1</v>
      </c>
      <c r="K233" t="s">
        <v>633</v>
      </c>
      <c r="L233" s="3">
        <f t="shared" si="9"/>
        <v>2</v>
      </c>
      <c r="M233" s="3">
        <v>4</v>
      </c>
      <c r="N233" s="3">
        <v>4</v>
      </c>
      <c r="O233" s="3">
        <v>1</v>
      </c>
      <c r="P233" s="3">
        <v>3</v>
      </c>
      <c r="Q233" s="3">
        <v>3</v>
      </c>
      <c r="R233" s="3">
        <v>5</v>
      </c>
      <c r="S233" s="3">
        <v>3</v>
      </c>
      <c r="T233" s="3">
        <v>1</v>
      </c>
      <c r="U233" s="3">
        <v>4</v>
      </c>
      <c r="V233" t="s">
        <v>638</v>
      </c>
      <c r="W233" t="s">
        <v>642</v>
      </c>
      <c r="X233" t="s">
        <v>649</v>
      </c>
      <c r="Y233" t="s">
        <v>653</v>
      </c>
      <c r="Z233" t="s">
        <v>654</v>
      </c>
      <c r="AA233" s="3">
        <v>6</v>
      </c>
      <c r="AB233">
        <v>1</v>
      </c>
      <c r="AC233" s="3">
        <v>3</v>
      </c>
      <c r="AD233" t="s">
        <v>657</v>
      </c>
      <c r="AE233" s="3">
        <f t="shared" si="11"/>
        <v>1.25</v>
      </c>
      <c r="AF233" s="3">
        <f>AVERAGE(E233:U233)</f>
        <v>2.6875</v>
      </c>
      <c r="AG233" s="3">
        <f>AVERAGEIF($C:$C, C233, $AE:$AE)</f>
        <v>1.25</v>
      </c>
      <c r="AH233" s="3">
        <f t="shared" si="10"/>
        <v>1.4375</v>
      </c>
      <c r="AI233" s="3">
        <f>IF(Table1[[#This Row],[Attendance Bracket]]="&gt;75%", 1, IF(Table1[[#This Row],[Attendance Bracket]]="50-75%", 0.8, 0.6))</f>
        <v>1</v>
      </c>
      <c r="AJ233" s="3">
        <v>1</v>
      </c>
      <c r="AK233" s="3" t="s">
        <v>684</v>
      </c>
      <c r="AL233" s="3">
        <f>VLOOKUP(C233,Table14[[#All],[Department]:[Publication_count]], 2, FALSE)</f>
        <v>5</v>
      </c>
      <c r="AM233" s="3">
        <v>6.3333333329999997</v>
      </c>
      <c r="AN233" s="3">
        <v>2.4743589739999998</v>
      </c>
    </row>
    <row r="234" spans="1:40" x14ac:dyDescent="0.25">
      <c r="A234" t="s">
        <v>259</v>
      </c>
      <c r="B234" t="s">
        <v>559</v>
      </c>
      <c r="C234" t="s">
        <v>628</v>
      </c>
      <c r="D234" s="5" t="s">
        <v>659</v>
      </c>
      <c r="E234" s="3">
        <v>2</v>
      </c>
      <c r="F234" s="3">
        <v>2</v>
      </c>
      <c r="G234" s="3">
        <v>3</v>
      </c>
      <c r="H234" s="3">
        <v>1</v>
      </c>
      <c r="I234" s="3">
        <v>3</v>
      </c>
      <c r="J234" s="3">
        <v>3</v>
      </c>
      <c r="K234" t="s">
        <v>631</v>
      </c>
      <c r="L234" s="3">
        <f t="shared" si="9"/>
        <v>4</v>
      </c>
      <c r="M234" s="3">
        <v>1</v>
      </c>
      <c r="N234" s="3">
        <v>2</v>
      </c>
      <c r="O234" s="3">
        <v>3</v>
      </c>
      <c r="P234" s="3">
        <v>1</v>
      </c>
      <c r="Q234" s="3">
        <v>1</v>
      </c>
      <c r="R234" s="3">
        <v>4</v>
      </c>
      <c r="S234" s="3">
        <v>1</v>
      </c>
      <c r="T234" s="3">
        <v>5</v>
      </c>
      <c r="U234" s="3">
        <v>1</v>
      </c>
      <c r="V234" t="s">
        <v>640</v>
      </c>
      <c r="W234" t="s">
        <v>642</v>
      </c>
      <c r="X234" t="s">
        <v>646</v>
      </c>
      <c r="Y234" t="s">
        <v>653</v>
      </c>
      <c r="Z234" t="s">
        <v>655</v>
      </c>
      <c r="AA234" s="3">
        <v>12</v>
      </c>
      <c r="AB234">
        <v>0</v>
      </c>
      <c r="AC234" s="3">
        <v>1</v>
      </c>
      <c r="AD234" t="s">
        <v>657</v>
      </c>
      <c r="AE234" s="3">
        <f t="shared" si="11"/>
        <v>1.25</v>
      </c>
      <c r="AF234" s="3">
        <f>AVERAGE(E234:U234)</f>
        <v>2.3125</v>
      </c>
      <c r="AG234" s="3">
        <f>AVERAGEIF($C:$C, C234, $AE:$AE)</f>
        <v>1.25</v>
      </c>
      <c r="AH234" s="3">
        <f t="shared" si="10"/>
        <v>1.0625</v>
      </c>
      <c r="AI234" s="3">
        <f>IF(Table1[[#This Row],[Attendance Bracket]]="&gt;75%", 1, IF(Table1[[#This Row],[Attendance Bracket]]="50-75%", 0.8, 0.6))</f>
        <v>1</v>
      </c>
      <c r="AJ234" s="3">
        <v>1</v>
      </c>
      <c r="AK234" s="3" t="s">
        <v>684</v>
      </c>
      <c r="AL234" s="3">
        <f>VLOOKUP(C234,Table14[[#All],[Department]:[Publication_count]], 2, FALSE)</f>
        <v>12</v>
      </c>
      <c r="AM234" s="3">
        <v>16.25</v>
      </c>
      <c r="AN234" s="3">
        <v>3.5</v>
      </c>
    </row>
    <row r="235" spans="1:40" x14ac:dyDescent="0.25">
      <c r="A235" t="s">
        <v>260</v>
      </c>
      <c r="B235" t="s">
        <v>560</v>
      </c>
      <c r="C235" t="s">
        <v>628</v>
      </c>
      <c r="D235" s="5" t="s">
        <v>630</v>
      </c>
      <c r="E235" s="3">
        <v>4</v>
      </c>
      <c r="F235" s="3">
        <v>3</v>
      </c>
      <c r="G235" s="3">
        <v>4</v>
      </c>
      <c r="H235" s="3">
        <v>1</v>
      </c>
      <c r="I235" s="3">
        <v>1</v>
      </c>
      <c r="J235" s="3">
        <v>1</v>
      </c>
      <c r="K235" t="s">
        <v>635</v>
      </c>
      <c r="L235" s="3">
        <f t="shared" si="9"/>
        <v>5</v>
      </c>
      <c r="M235" s="3">
        <v>1</v>
      </c>
      <c r="N235" s="3">
        <v>5</v>
      </c>
      <c r="O235" s="3">
        <v>2</v>
      </c>
      <c r="P235" s="3">
        <v>5</v>
      </c>
      <c r="Q235" s="3">
        <v>3</v>
      </c>
      <c r="R235" s="3">
        <v>2</v>
      </c>
      <c r="S235" s="3">
        <v>1</v>
      </c>
      <c r="T235" s="3">
        <v>4</v>
      </c>
      <c r="U235" s="3">
        <v>1</v>
      </c>
      <c r="V235" t="s">
        <v>639</v>
      </c>
      <c r="W235" t="s">
        <v>641</v>
      </c>
      <c r="X235" t="s">
        <v>647</v>
      </c>
      <c r="Y235" t="s">
        <v>653</v>
      </c>
      <c r="Z235" t="s">
        <v>655</v>
      </c>
      <c r="AA235" s="3">
        <v>11</v>
      </c>
      <c r="AB235">
        <v>1</v>
      </c>
      <c r="AC235" s="3">
        <v>1</v>
      </c>
      <c r="AD235" t="s">
        <v>657</v>
      </c>
      <c r="AE235" s="3">
        <f t="shared" si="11"/>
        <v>1.25</v>
      </c>
      <c r="AF235" s="3">
        <f>AVERAGE(E235:U235)</f>
        <v>2.6875</v>
      </c>
      <c r="AG235" s="3">
        <f>AVERAGEIF($C:$C, C235, $AE:$AE)</f>
        <v>1.25</v>
      </c>
      <c r="AH235" s="3">
        <f t="shared" si="10"/>
        <v>1.4375</v>
      </c>
      <c r="AI235" s="3">
        <f>IF(Table1[[#This Row],[Attendance Bracket]]="&gt;75%", 1, IF(Table1[[#This Row],[Attendance Bracket]]="50-75%", 0.8, 0.6))</f>
        <v>1</v>
      </c>
      <c r="AJ235" s="3">
        <v>2</v>
      </c>
      <c r="AK235" s="3" t="s">
        <v>684</v>
      </c>
      <c r="AL235" s="3">
        <f>VLOOKUP(C235,Table14[[#All],[Department]:[Publication_count]], 2, FALSE)</f>
        <v>12</v>
      </c>
      <c r="AM235" s="3">
        <v>16.25</v>
      </c>
      <c r="AN235" s="3">
        <v>4</v>
      </c>
    </row>
    <row r="236" spans="1:40" x14ac:dyDescent="0.25">
      <c r="A236" t="s">
        <v>261</v>
      </c>
      <c r="B236" t="s">
        <v>561</v>
      </c>
      <c r="C236" t="s">
        <v>629</v>
      </c>
      <c r="D236" s="5" t="s">
        <v>630</v>
      </c>
      <c r="E236" s="3">
        <v>2</v>
      </c>
      <c r="F236" s="3">
        <v>1</v>
      </c>
      <c r="G236" s="3">
        <v>3</v>
      </c>
      <c r="H236" s="3">
        <v>3</v>
      </c>
      <c r="I236" s="3">
        <v>4</v>
      </c>
      <c r="J236" s="3">
        <v>2</v>
      </c>
      <c r="K236" t="s">
        <v>632</v>
      </c>
      <c r="L236" s="3">
        <f t="shared" si="9"/>
        <v>1</v>
      </c>
      <c r="M236" s="3">
        <v>1</v>
      </c>
      <c r="N236" s="3">
        <v>5</v>
      </c>
      <c r="O236" s="3">
        <v>4</v>
      </c>
      <c r="P236" s="3">
        <v>2</v>
      </c>
      <c r="Q236" s="3">
        <v>5</v>
      </c>
      <c r="R236" s="3">
        <v>5</v>
      </c>
      <c r="S236" s="3">
        <v>5</v>
      </c>
      <c r="T236" s="3">
        <v>4</v>
      </c>
      <c r="U236" s="3">
        <v>5</v>
      </c>
      <c r="V236" t="s">
        <v>637</v>
      </c>
      <c r="W236" t="s">
        <v>644</v>
      </c>
      <c r="X236" t="s">
        <v>650</v>
      </c>
      <c r="Y236" t="s">
        <v>651</v>
      </c>
      <c r="Z236" t="s">
        <v>654</v>
      </c>
      <c r="AA236" s="3">
        <v>18</v>
      </c>
      <c r="AB236">
        <v>0</v>
      </c>
      <c r="AC236" s="3">
        <v>3</v>
      </c>
      <c r="AD236" t="s">
        <v>657</v>
      </c>
      <c r="AE236" s="3">
        <f t="shared" si="11"/>
        <v>1.25</v>
      </c>
      <c r="AF236" s="3">
        <f>AVERAGE(E236:U236)</f>
        <v>3.25</v>
      </c>
      <c r="AG236" s="3">
        <f>AVERAGEIF($C:$C, C236, $AE:$AE)</f>
        <v>1.2450000000000001</v>
      </c>
      <c r="AH236" s="3">
        <f t="shared" si="10"/>
        <v>2.0049999999999999</v>
      </c>
      <c r="AI236" s="3">
        <f>IF(Table1[[#This Row],[Attendance Bracket]]="&gt;75%", 1, IF(Table1[[#This Row],[Attendance Bracket]]="50-75%", 0.8, 0.6))</f>
        <v>0.8</v>
      </c>
      <c r="AJ236" s="3">
        <v>2</v>
      </c>
      <c r="AK236" s="3" t="s">
        <v>684</v>
      </c>
      <c r="AL236" s="3">
        <f>VLOOKUP(C236,Table14[[#All],[Department]:[Publication_count]], 2, FALSE)</f>
        <v>3</v>
      </c>
      <c r="AM236" s="3">
        <v>4.6666666670000003</v>
      </c>
      <c r="AN236" s="3">
        <v>1.2179487179999999</v>
      </c>
    </row>
    <row r="237" spans="1:40" x14ac:dyDescent="0.25">
      <c r="A237" t="s">
        <v>262</v>
      </c>
      <c r="B237" t="s">
        <v>562</v>
      </c>
      <c r="C237" t="s">
        <v>628</v>
      </c>
      <c r="D237" s="5" t="s">
        <v>659</v>
      </c>
      <c r="E237" s="3">
        <v>1</v>
      </c>
      <c r="F237" s="3">
        <v>2</v>
      </c>
      <c r="G237" s="3">
        <v>5</v>
      </c>
      <c r="H237" s="3">
        <v>5</v>
      </c>
      <c r="I237" s="3">
        <v>4</v>
      </c>
      <c r="J237" s="3">
        <v>4</v>
      </c>
      <c r="K237" t="s">
        <v>634</v>
      </c>
      <c r="L237" s="3">
        <f t="shared" si="9"/>
        <v>3</v>
      </c>
      <c r="M237" s="3">
        <v>3</v>
      </c>
      <c r="N237" s="3">
        <v>4</v>
      </c>
      <c r="O237" s="3">
        <v>1</v>
      </c>
      <c r="P237" s="3">
        <v>1</v>
      </c>
      <c r="Q237" s="3">
        <v>5</v>
      </c>
      <c r="R237" s="3">
        <v>5</v>
      </c>
      <c r="S237" s="3">
        <v>3</v>
      </c>
      <c r="T237" s="3">
        <v>2</v>
      </c>
      <c r="U237" s="3">
        <v>4</v>
      </c>
      <c r="V237" t="s">
        <v>640</v>
      </c>
      <c r="W237" t="s">
        <v>643</v>
      </c>
      <c r="X237" t="s">
        <v>648</v>
      </c>
      <c r="Y237" t="s">
        <v>652</v>
      </c>
      <c r="Z237" t="s">
        <v>656</v>
      </c>
      <c r="AA237" s="3">
        <v>18</v>
      </c>
      <c r="AB237">
        <v>0</v>
      </c>
      <c r="AC237" s="3">
        <v>2</v>
      </c>
      <c r="AD237" t="s">
        <v>657</v>
      </c>
      <c r="AE237" s="3">
        <f t="shared" si="11"/>
        <v>1.25</v>
      </c>
      <c r="AF237" s="3">
        <f>AVERAGE(E237:U237)</f>
        <v>3.25</v>
      </c>
      <c r="AG237" s="3">
        <f>AVERAGEIF($C:$C, C237, $AE:$AE)</f>
        <v>1.25</v>
      </c>
      <c r="AH237" s="3">
        <f t="shared" si="10"/>
        <v>2</v>
      </c>
      <c r="AI237" s="3">
        <f>IF(Table1[[#This Row],[Attendance Bracket]]="&gt;75%", 1, IF(Table1[[#This Row],[Attendance Bracket]]="50-75%", 0.8, 0.6))</f>
        <v>0.6</v>
      </c>
      <c r="AJ237" s="3">
        <v>2</v>
      </c>
      <c r="AK237" s="3" t="s">
        <v>684</v>
      </c>
      <c r="AL237" s="3">
        <f>VLOOKUP(C237,Table14[[#All],[Department]:[Publication_count]], 2, FALSE)</f>
        <v>12</v>
      </c>
      <c r="AM237" s="3">
        <v>16.25</v>
      </c>
      <c r="AN237" s="3">
        <v>3.5</v>
      </c>
    </row>
    <row r="238" spans="1:40" x14ac:dyDescent="0.25">
      <c r="A238" t="s">
        <v>263</v>
      </c>
      <c r="B238" t="s">
        <v>563</v>
      </c>
      <c r="C238" t="s">
        <v>627</v>
      </c>
      <c r="D238" s="5" t="s">
        <v>660</v>
      </c>
      <c r="E238" s="3">
        <v>2</v>
      </c>
      <c r="F238" s="3">
        <v>2</v>
      </c>
      <c r="G238" s="3">
        <v>2</v>
      </c>
      <c r="H238" s="3">
        <v>1</v>
      </c>
      <c r="I238" s="3">
        <v>4</v>
      </c>
      <c r="J238" s="3">
        <v>1</v>
      </c>
      <c r="K238" t="s">
        <v>634</v>
      </c>
      <c r="L238" s="3">
        <f t="shared" si="9"/>
        <v>3</v>
      </c>
      <c r="M238" s="3">
        <v>4</v>
      </c>
      <c r="N238" s="3">
        <v>2</v>
      </c>
      <c r="O238" s="3">
        <v>5</v>
      </c>
      <c r="P238" s="3">
        <v>2</v>
      </c>
      <c r="Q238" s="3">
        <v>2</v>
      </c>
      <c r="R238" s="3">
        <v>5</v>
      </c>
      <c r="S238" s="3">
        <v>5</v>
      </c>
      <c r="T238" s="3">
        <v>3</v>
      </c>
      <c r="U238" s="3">
        <v>4</v>
      </c>
      <c r="V238" t="s">
        <v>636</v>
      </c>
      <c r="W238" t="s">
        <v>642</v>
      </c>
      <c r="X238" t="s">
        <v>648</v>
      </c>
      <c r="Y238" t="s">
        <v>653</v>
      </c>
      <c r="Z238" t="s">
        <v>654</v>
      </c>
      <c r="AA238" s="3">
        <v>18</v>
      </c>
      <c r="AB238">
        <v>1</v>
      </c>
      <c r="AC238" s="3">
        <v>2</v>
      </c>
      <c r="AD238" t="s">
        <v>657</v>
      </c>
      <c r="AE238" s="3">
        <f t="shared" si="11"/>
        <v>1.25</v>
      </c>
      <c r="AF238" s="3">
        <f>AVERAGE(E238:U238)</f>
        <v>2.9375</v>
      </c>
      <c r="AG238" s="3">
        <f>AVERAGEIF($C:$C, C238, $AE:$AE)</f>
        <v>1.25</v>
      </c>
      <c r="AH238" s="3">
        <f t="shared" si="10"/>
        <v>1.6875</v>
      </c>
      <c r="AI238" s="3">
        <f>IF(Table1[[#This Row],[Attendance Bracket]]="&gt;75%", 1, IF(Table1[[#This Row],[Attendance Bracket]]="50-75%", 0.8, 0.6))</f>
        <v>1</v>
      </c>
      <c r="AJ238" s="3">
        <v>1</v>
      </c>
      <c r="AK238" s="3" t="s">
        <v>684</v>
      </c>
      <c r="AL238" s="3">
        <f>VLOOKUP(C238,Table14[[#All],[Department]:[Publication_count]], 2, FALSE)</f>
        <v>5</v>
      </c>
      <c r="AM238" s="3">
        <v>6.3333333329999997</v>
      </c>
      <c r="AN238" s="3">
        <v>1.974358974</v>
      </c>
    </row>
    <row r="239" spans="1:40" x14ac:dyDescent="0.25">
      <c r="A239" t="s">
        <v>264</v>
      </c>
      <c r="B239" t="s">
        <v>564</v>
      </c>
      <c r="C239" t="s">
        <v>627</v>
      </c>
      <c r="D239" s="5" t="s">
        <v>659</v>
      </c>
      <c r="E239" s="3">
        <v>2</v>
      </c>
      <c r="F239" s="3">
        <v>1</v>
      </c>
      <c r="G239" s="3">
        <v>4</v>
      </c>
      <c r="H239" s="3">
        <v>5</v>
      </c>
      <c r="I239" s="3">
        <v>2</v>
      </c>
      <c r="J239" s="3">
        <v>1</v>
      </c>
      <c r="K239" t="s">
        <v>634</v>
      </c>
      <c r="L239" s="3">
        <f t="shared" si="9"/>
        <v>3</v>
      </c>
      <c r="M239" s="3">
        <v>5</v>
      </c>
      <c r="N239" s="3">
        <v>1</v>
      </c>
      <c r="O239" s="3">
        <v>1</v>
      </c>
      <c r="P239" s="3">
        <v>1</v>
      </c>
      <c r="Q239" s="3">
        <v>3</v>
      </c>
      <c r="R239" s="3">
        <v>2</v>
      </c>
      <c r="S239" s="3">
        <v>2</v>
      </c>
      <c r="T239" s="3">
        <v>5</v>
      </c>
      <c r="U239" s="3">
        <v>4</v>
      </c>
      <c r="V239" t="s">
        <v>637</v>
      </c>
      <c r="W239" t="s">
        <v>645</v>
      </c>
      <c r="X239" t="s">
        <v>648</v>
      </c>
      <c r="Y239" t="s">
        <v>652</v>
      </c>
      <c r="Z239" t="s">
        <v>656</v>
      </c>
      <c r="AA239" s="3">
        <v>19</v>
      </c>
      <c r="AB239">
        <v>0</v>
      </c>
      <c r="AC239" s="3">
        <v>3</v>
      </c>
      <c r="AD239" t="s">
        <v>657</v>
      </c>
      <c r="AE239" s="3">
        <f t="shared" si="11"/>
        <v>1.25</v>
      </c>
      <c r="AF239" s="3">
        <f>AVERAGE(E239:U239)</f>
        <v>2.625</v>
      </c>
      <c r="AG239" s="3">
        <f>AVERAGEIF($C:$C, C239, $AE:$AE)</f>
        <v>1.25</v>
      </c>
      <c r="AH239" s="3">
        <f t="shared" si="10"/>
        <v>1.375</v>
      </c>
      <c r="AI239" s="3">
        <f>IF(Table1[[#This Row],[Attendance Bracket]]="&gt;75%", 1, IF(Table1[[#This Row],[Attendance Bracket]]="50-75%", 0.8, 0.6))</f>
        <v>0.6</v>
      </c>
      <c r="AJ239" s="3">
        <v>3</v>
      </c>
      <c r="AK239" s="3" t="s">
        <v>634</v>
      </c>
      <c r="AL239" s="3">
        <f>VLOOKUP(C239,Table14[[#All],[Department]:[Publication_count]], 2, FALSE)</f>
        <v>5</v>
      </c>
      <c r="AM239" s="3">
        <v>6.3333333329999997</v>
      </c>
      <c r="AN239" s="3">
        <v>1.474358974</v>
      </c>
    </row>
    <row r="240" spans="1:40" x14ac:dyDescent="0.25">
      <c r="A240" t="s">
        <v>265</v>
      </c>
      <c r="B240" t="s">
        <v>565</v>
      </c>
      <c r="C240" t="s">
        <v>627</v>
      </c>
      <c r="D240" s="5" t="s">
        <v>659</v>
      </c>
      <c r="E240" s="3">
        <v>1</v>
      </c>
      <c r="F240" s="3">
        <v>4</v>
      </c>
      <c r="G240" s="3">
        <v>2</v>
      </c>
      <c r="H240" s="3">
        <v>2</v>
      </c>
      <c r="I240" s="3">
        <v>2</v>
      </c>
      <c r="J240" s="3">
        <v>5</v>
      </c>
      <c r="K240" t="s">
        <v>635</v>
      </c>
      <c r="L240" s="3">
        <f t="shared" si="9"/>
        <v>5</v>
      </c>
      <c r="M240" s="3">
        <v>2</v>
      </c>
      <c r="N240" s="3">
        <v>5</v>
      </c>
      <c r="O240" s="3">
        <v>2</v>
      </c>
      <c r="P240" s="3">
        <v>5</v>
      </c>
      <c r="Q240" s="3">
        <v>4</v>
      </c>
      <c r="R240" s="3">
        <v>5</v>
      </c>
      <c r="S240" s="3">
        <v>4</v>
      </c>
      <c r="T240" s="3">
        <v>1</v>
      </c>
      <c r="U240" s="3">
        <v>3</v>
      </c>
      <c r="V240" t="s">
        <v>636</v>
      </c>
      <c r="W240" t="s">
        <v>645</v>
      </c>
      <c r="X240" t="s">
        <v>646</v>
      </c>
      <c r="Y240" t="s">
        <v>652</v>
      </c>
      <c r="Z240" t="s">
        <v>655</v>
      </c>
      <c r="AA240" s="3">
        <v>12</v>
      </c>
      <c r="AB240">
        <v>0</v>
      </c>
      <c r="AC240" s="3">
        <v>4</v>
      </c>
      <c r="AD240" t="s">
        <v>657</v>
      </c>
      <c r="AE240" s="3">
        <f t="shared" si="11"/>
        <v>1.25</v>
      </c>
      <c r="AF240" s="3">
        <f>AVERAGE(E240:U240)</f>
        <v>3.25</v>
      </c>
      <c r="AG240" s="3">
        <f>AVERAGEIF($C:$C, C240, $AE:$AE)</f>
        <v>1.25</v>
      </c>
      <c r="AH240" s="3">
        <f t="shared" si="10"/>
        <v>2</v>
      </c>
      <c r="AI240" s="3">
        <f>IF(Table1[[#This Row],[Attendance Bracket]]="&gt;75%", 1, IF(Table1[[#This Row],[Attendance Bracket]]="50-75%", 0.8, 0.6))</f>
        <v>0.6</v>
      </c>
      <c r="AJ240" s="3">
        <v>3</v>
      </c>
      <c r="AK240" s="3" t="s">
        <v>634</v>
      </c>
      <c r="AL240" s="3">
        <f>VLOOKUP(C240,Table14[[#All],[Department]:[Publication_count]], 2, FALSE)</f>
        <v>5</v>
      </c>
      <c r="AM240" s="3">
        <v>6.3333333329999997</v>
      </c>
      <c r="AN240" s="3">
        <v>2.9743589739999998</v>
      </c>
    </row>
    <row r="241" spans="1:40" x14ac:dyDescent="0.25">
      <c r="A241" t="s">
        <v>266</v>
      </c>
      <c r="B241" t="s">
        <v>566</v>
      </c>
      <c r="C241" t="s">
        <v>627</v>
      </c>
      <c r="D241" s="5" t="s">
        <v>660</v>
      </c>
      <c r="E241" s="3">
        <v>1</v>
      </c>
      <c r="F241" s="3">
        <v>3</v>
      </c>
      <c r="G241" s="3">
        <v>3</v>
      </c>
      <c r="H241" s="3">
        <v>3</v>
      </c>
      <c r="I241" s="3">
        <v>1</v>
      </c>
      <c r="J241" s="3">
        <v>2</v>
      </c>
      <c r="K241" t="s">
        <v>633</v>
      </c>
      <c r="L241" s="3">
        <f t="shared" si="9"/>
        <v>2</v>
      </c>
      <c r="M241" s="3">
        <v>3</v>
      </c>
      <c r="N241" s="3">
        <v>4</v>
      </c>
      <c r="O241" s="3">
        <v>3</v>
      </c>
      <c r="P241" s="3">
        <v>5</v>
      </c>
      <c r="Q241" s="3">
        <v>4</v>
      </c>
      <c r="R241" s="3">
        <v>2</v>
      </c>
      <c r="S241" s="3">
        <v>3</v>
      </c>
      <c r="T241" s="3">
        <v>2</v>
      </c>
      <c r="U241" s="3">
        <v>2</v>
      </c>
      <c r="V241" t="s">
        <v>637</v>
      </c>
      <c r="W241" t="s">
        <v>644</v>
      </c>
      <c r="X241" t="s">
        <v>648</v>
      </c>
      <c r="Y241" t="s">
        <v>653</v>
      </c>
      <c r="Z241" t="s">
        <v>656</v>
      </c>
      <c r="AA241" s="3">
        <v>20</v>
      </c>
      <c r="AB241">
        <v>0</v>
      </c>
      <c r="AC241" s="3">
        <v>2</v>
      </c>
      <c r="AD241" t="s">
        <v>657</v>
      </c>
      <c r="AE241" s="3">
        <f t="shared" si="11"/>
        <v>1.25</v>
      </c>
      <c r="AF241" s="3">
        <f>AVERAGE(E241:U241)</f>
        <v>2.6875</v>
      </c>
      <c r="AG241" s="3">
        <f>AVERAGEIF($C:$C, C241, $AE:$AE)</f>
        <v>1.25</v>
      </c>
      <c r="AH241" s="3">
        <f t="shared" si="10"/>
        <v>1.4375</v>
      </c>
      <c r="AI241" s="3">
        <f>IF(Table1[[#This Row],[Attendance Bracket]]="&gt;75%", 1, IF(Table1[[#This Row],[Attendance Bracket]]="50-75%", 0.8, 0.6))</f>
        <v>1</v>
      </c>
      <c r="AJ241" s="3">
        <v>2</v>
      </c>
      <c r="AK241" s="3" t="s">
        <v>684</v>
      </c>
      <c r="AL241" s="3">
        <f>VLOOKUP(C241,Table14[[#All],[Department]:[Publication_count]], 2, FALSE)</f>
        <v>5</v>
      </c>
      <c r="AM241" s="3">
        <v>6.3333333329999997</v>
      </c>
      <c r="AN241" s="3">
        <v>2.4743589739999998</v>
      </c>
    </row>
    <row r="242" spans="1:40" x14ac:dyDescent="0.25">
      <c r="A242" t="s">
        <v>267</v>
      </c>
      <c r="B242" t="s">
        <v>567</v>
      </c>
      <c r="C242" t="s">
        <v>627</v>
      </c>
      <c r="D242" s="5" t="s">
        <v>659</v>
      </c>
      <c r="E242" s="3">
        <v>4</v>
      </c>
      <c r="F242" s="3">
        <v>1</v>
      </c>
      <c r="G242" s="3">
        <v>4</v>
      </c>
      <c r="H242" s="3">
        <v>4</v>
      </c>
      <c r="I242" s="3">
        <v>3</v>
      </c>
      <c r="J242" s="3">
        <v>4</v>
      </c>
      <c r="K242" t="s">
        <v>631</v>
      </c>
      <c r="L242" s="3">
        <f t="shared" si="9"/>
        <v>4</v>
      </c>
      <c r="M242" s="3">
        <v>3</v>
      </c>
      <c r="N242" s="3">
        <v>5</v>
      </c>
      <c r="O242" s="3">
        <v>4</v>
      </c>
      <c r="P242" s="3">
        <v>5</v>
      </c>
      <c r="Q242" s="3">
        <v>2</v>
      </c>
      <c r="R242" s="3">
        <v>5</v>
      </c>
      <c r="S242" s="3">
        <v>5</v>
      </c>
      <c r="T242" s="3">
        <v>3</v>
      </c>
      <c r="U242" s="3">
        <v>4</v>
      </c>
      <c r="V242" t="s">
        <v>640</v>
      </c>
      <c r="W242" t="s">
        <v>644</v>
      </c>
      <c r="X242" t="s">
        <v>650</v>
      </c>
      <c r="Y242" t="s">
        <v>653</v>
      </c>
      <c r="Z242" t="s">
        <v>655</v>
      </c>
      <c r="AA242" s="3">
        <v>17</v>
      </c>
      <c r="AB242">
        <v>0</v>
      </c>
      <c r="AC242" s="3">
        <v>3</v>
      </c>
      <c r="AD242" t="s">
        <v>657</v>
      </c>
      <c r="AE242" s="3">
        <f t="shared" si="11"/>
        <v>1.25</v>
      </c>
      <c r="AF242" s="3">
        <f>AVERAGE(E242:U242)</f>
        <v>3.75</v>
      </c>
      <c r="AG242" s="3">
        <f>AVERAGEIF($C:$C, C242, $AE:$AE)</f>
        <v>1.25</v>
      </c>
      <c r="AH242" s="3">
        <f t="shared" si="10"/>
        <v>2.5</v>
      </c>
      <c r="AI242" s="3">
        <f>IF(Table1[[#This Row],[Attendance Bracket]]="&gt;75%", 1, IF(Table1[[#This Row],[Attendance Bracket]]="50-75%", 0.8, 0.6))</f>
        <v>1</v>
      </c>
      <c r="AJ242" s="3">
        <v>2</v>
      </c>
      <c r="AK242" s="3" t="s">
        <v>684</v>
      </c>
      <c r="AL242" s="3">
        <f>VLOOKUP(C242,Table14[[#All],[Department]:[Publication_count]], 2, FALSE)</f>
        <v>5</v>
      </c>
      <c r="AM242" s="3">
        <v>6.3333333329999997</v>
      </c>
      <c r="AN242" s="3">
        <v>1.474358974</v>
      </c>
    </row>
    <row r="243" spans="1:40" x14ac:dyDescent="0.25">
      <c r="A243" t="s">
        <v>268</v>
      </c>
      <c r="B243" t="s">
        <v>568</v>
      </c>
      <c r="C243" t="s">
        <v>628</v>
      </c>
      <c r="D243" s="5" t="s">
        <v>659</v>
      </c>
      <c r="E243" s="3">
        <v>5</v>
      </c>
      <c r="F243" s="3">
        <v>3</v>
      </c>
      <c r="G243" s="3">
        <v>1</v>
      </c>
      <c r="H243" s="3">
        <v>5</v>
      </c>
      <c r="I243" s="3">
        <v>4</v>
      </c>
      <c r="J243" s="3">
        <v>4</v>
      </c>
      <c r="K243" t="s">
        <v>633</v>
      </c>
      <c r="L243" s="3">
        <f t="shared" si="9"/>
        <v>2</v>
      </c>
      <c r="M243" s="3">
        <v>2</v>
      </c>
      <c r="N243" s="3">
        <v>5</v>
      </c>
      <c r="O243" s="3">
        <v>5</v>
      </c>
      <c r="P243" s="3">
        <v>2</v>
      </c>
      <c r="Q243" s="3">
        <v>4</v>
      </c>
      <c r="R243" s="3">
        <v>5</v>
      </c>
      <c r="S243" s="3">
        <v>1</v>
      </c>
      <c r="T243" s="3">
        <v>4</v>
      </c>
      <c r="U243" s="3">
        <v>1</v>
      </c>
      <c r="V243" t="s">
        <v>639</v>
      </c>
      <c r="W243" t="s">
        <v>643</v>
      </c>
      <c r="X243" t="s">
        <v>648</v>
      </c>
      <c r="Y243" t="s">
        <v>653</v>
      </c>
      <c r="Z243" t="s">
        <v>655</v>
      </c>
      <c r="AA243" s="3">
        <v>10</v>
      </c>
      <c r="AB243">
        <v>1</v>
      </c>
      <c r="AC243" s="3">
        <v>1</v>
      </c>
      <c r="AD243" t="s">
        <v>657</v>
      </c>
      <c r="AE243" s="3">
        <f t="shared" si="11"/>
        <v>1.25</v>
      </c>
      <c r="AF243" s="3">
        <f>AVERAGE(E243:U243)</f>
        <v>3.3125</v>
      </c>
      <c r="AG243" s="3">
        <f>AVERAGEIF($C:$C, C243, $AE:$AE)</f>
        <v>1.25</v>
      </c>
      <c r="AH243" s="3">
        <f t="shared" si="10"/>
        <v>2.0625</v>
      </c>
      <c r="AI243" s="3">
        <f>IF(Table1[[#This Row],[Attendance Bracket]]="&gt;75%", 1, IF(Table1[[#This Row],[Attendance Bracket]]="50-75%", 0.8, 0.6))</f>
        <v>1</v>
      </c>
      <c r="AJ243" s="3">
        <v>2</v>
      </c>
      <c r="AK243" s="3" t="s">
        <v>684</v>
      </c>
      <c r="AL243" s="3">
        <f>VLOOKUP(C243,Table14[[#All],[Department]:[Publication_count]], 2, FALSE)</f>
        <v>12</v>
      </c>
      <c r="AM243" s="3">
        <v>16.25</v>
      </c>
      <c r="AN243" s="3">
        <v>4</v>
      </c>
    </row>
    <row r="244" spans="1:40" x14ac:dyDescent="0.25">
      <c r="A244" t="s">
        <v>269</v>
      </c>
      <c r="B244" t="s">
        <v>569</v>
      </c>
      <c r="C244" t="s">
        <v>628</v>
      </c>
      <c r="D244" s="5" t="s">
        <v>630</v>
      </c>
      <c r="E244" s="3">
        <v>1</v>
      </c>
      <c r="F244" s="3">
        <v>5</v>
      </c>
      <c r="G244" s="3">
        <v>4</v>
      </c>
      <c r="H244" s="3">
        <v>5</v>
      </c>
      <c r="I244" s="3">
        <v>1</v>
      </c>
      <c r="J244" s="3">
        <v>5</v>
      </c>
      <c r="K244" t="s">
        <v>633</v>
      </c>
      <c r="L244" s="3">
        <f t="shared" si="9"/>
        <v>2</v>
      </c>
      <c r="M244" s="3">
        <v>1</v>
      </c>
      <c r="N244" s="3">
        <v>4</v>
      </c>
      <c r="O244" s="3">
        <v>3</v>
      </c>
      <c r="P244" s="3">
        <v>2</v>
      </c>
      <c r="Q244" s="3">
        <v>5</v>
      </c>
      <c r="R244" s="3">
        <v>2</v>
      </c>
      <c r="S244" s="3">
        <v>4</v>
      </c>
      <c r="T244" s="3">
        <v>4</v>
      </c>
      <c r="U244" s="3">
        <v>2</v>
      </c>
      <c r="V244" t="s">
        <v>639</v>
      </c>
      <c r="W244" t="s">
        <v>644</v>
      </c>
      <c r="X244" t="s">
        <v>649</v>
      </c>
      <c r="Y244" t="s">
        <v>653</v>
      </c>
      <c r="Z244" t="s">
        <v>656</v>
      </c>
      <c r="AA244" s="3">
        <v>14</v>
      </c>
      <c r="AB244">
        <v>0</v>
      </c>
      <c r="AC244" s="3">
        <v>2</v>
      </c>
      <c r="AD244" t="s">
        <v>657</v>
      </c>
      <c r="AE244" s="3">
        <f t="shared" si="11"/>
        <v>1.25</v>
      </c>
      <c r="AF244" s="3">
        <f>AVERAGE(E244:U244)</f>
        <v>3.125</v>
      </c>
      <c r="AG244" s="3">
        <f>AVERAGEIF($C:$C, C244, $AE:$AE)</f>
        <v>1.25</v>
      </c>
      <c r="AH244" s="3">
        <f t="shared" si="10"/>
        <v>1.875</v>
      </c>
      <c r="AI244" s="3">
        <f>IF(Table1[[#This Row],[Attendance Bracket]]="&gt;75%", 1, IF(Table1[[#This Row],[Attendance Bracket]]="50-75%", 0.8, 0.6))</f>
        <v>1</v>
      </c>
      <c r="AJ244" s="3">
        <v>2</v>
      </c>
      <c r="AK244" s="3" t="s">
        <v>684</v>
      </c>
      <c r="AL244" s="3">
        <f>VLOOKUP(C244,Table14[[#All],[Department]:[Publication_count]], 2, FALSE)</f>
        <v>12</v>
      </c>
      <c r="AM244" s="3">
        <v>16.25</v>
      </c>
      <c r="AN244" s="3">
        <v>5</v>
      </c>
    </row>
    <row r="245" spans="1:40" x14ac:dyDescent="0.25">
      <c r="A245" t="s">
        <v>270</v>
      </c>
      <c r="B245" t="s">
        <v>570</v>
      </c>
      <c r="C245" t="s">
        <v>628</v>
      </c>
      <c r="D245" s="5" t="s">
        <v>659</v>
      </c>
      <c r="E245" s="3">
        <v>2</v>
      </c>
      <c r="F245" s="3">
        <v>2</v>
      </c>
      <c r="G245" s="3">
        <v>1</v>
      </c>
      <c r="H245" s="3">
        <v>4</v>
      </c>
      <c r="I245" s="3">
        <v>4</v>
      </c>
      <c r="J245" s="3">
        <v>4</v>
      </c>
      <c r="K245" t="s">
        <v>632</v>
      </c>
      <c r="L245" s="3">
        <f t="shared" si="9"/>
        <v>1</v>
      </c>
      <c r="M245" s="3">
        <v>5</v>
      </c>
      <c r="N245" s="3">
        <v>3</v>
      </c>
      <c r="O245" s="3">
        <v>4</v>
      </c>
      <c r="P245" s="3">
        <v>1</v>
      </c>
      <c r="Q245" s="3">
        <v>3</v>
      </c>
      <c r="R245" s="3">
        <v>4</v>
      </c>
      <c r="S245" s="3">
        <v>2</v>
      </c>
      <c r="T245" s="3">
        <v>3</v>
      </c>
      <c r="U245" s="3">
        <v>5</v>
      </c>
      <c r="V245" t="s">
        <v>638</v>
      </c>
      <c r="W245" t="s">
        <v>641</v>
      </c>
      <c r="X245" t="s">
        <v>648</v>
      </c>
      <c r="Y245" t="s">
        <v>653</v>
      </c>
      <c r="Z245" t="s">
        <v>656</v>
      </c>
      <c r="AA245" s="3">
        <v>11</v>
      </c>
      <c r="AB245">
        <v>0</v>
      </c>
      <c r="AC245" s="3">
        <v>5</v>
      </c>
      <c r="AD245" t="s">
        <v>657</v>
      </c>
      <c r="AE245" s="3">
        <f t="shared" si="11"/>
        <v>1.25</v>
      </c>
      <c r="AF245" s="3">
        <f>AVERAGE(E245:U245)</f>
        <v>3</v>
      </c>
      <c r="AG245" s="3">
        <f>AVERAGEIF($C:$C, C245, $AE:$AE)</f>
        <v>1.25</v>
      </c>
      <c r="AH245" s="3">
        <f t="shared" si="10"/>
        <v>1.75</v>
      </c>
      <c r="AI245" s="3">
        <f>IF(Table1[[#This Row],[Attendance Bracket]]="&gt;75%", 1, IF(Table1[[#This Row],[Attendance Bracket]]="50-75%", 0.8, 0.6))</f>
        <v>1</v>
      </c>
      <c r="AJ245" s="3">
        <v>2</v>
      </c>
      <c r="AK245" s="3" t="s">
        <v>684</v>
      </c>
      <c r="AL245" s="3">
        <f>VLOOKUP(C245,Table14[[#All],[Department]:[Publication_count]], 2, FALSE)</f>
        <v>12</v>
      </c>
      <c r="AM245" s="3">
        <v>16.25</v>
      </c>
      <c r="AN245" s="3">
        <v>3.5</v>
      </c>
    </row>
    <row r="246" spans="1:40" x14ac:dyDescent="0.25">
      <c r="A246" t="s">
        <v>271</v>
      </c>
      <c r="B246" t="s">
        <v>571</v>
      </c>
      <c r="C246" t="s">
        <v>629</v>
      </c>
      <c r="D246" s="5" t="s">
        <v>660</v>
      </c>
      <c r="E246" s="3">
        <v>5</v>
      </c>
      <c r="F246" s="3">
        <v>5</v>
      </c>
      <c r="G246" s="3">
        <v>2</v>
      </c>
      <c r="H246" s="3">
        <v>1</v>
      </c>
      <c r="I246" s="3">
        <v>2</v>
      </c>
      <c r="J246" s="3">
        <v>3</v>
      </c>
      <c r="K246" t="s">
        <v>632</v>
      </c>
      <c r="L246" s="3">
        <f t="shared" si="9"/>
        <v>1</v>
      </c>
      <c r="M246" s="3">
        <v>2</v>
      </c>
      <c r="N246" s="3">
        <v>4</v>
      </c>
      <c r="O246" s="3">
        <v>1</v>
      </c>
      <c r="P246" s="3">
        <v>1</v>
      </c>
      <c r="Q246" s="3">
        <v>2</v>
      </c>
      <c r="R246" s="3">
        <v>4</v>
      </c>
      <c r="S246" s="3">
        <v>2</v>
      </c>
      <c r="T246" s="3">
        <v>2</v>
      </c>
      <c r="U246" s="3">
        <v>1</v>
      </c>
      <c r="V246" t="s">
        <v>636</v>
      </c>
      <c r="W246" t="s">
        <v>643</v>
      </c>
      <c r="X246" t="s">
        <v>650</v>
      </c>
      <c r="Y246" t="s">
        <v>651</v>
      </c>
      <c r="Z246" t="s">
        <v>655</v>
      </c>
      <c r="AA246" s="3">
        <v>16</v>
      </c>
      <c r="AB246">
        <v>0</v>
      </c>
      <c r="AC246" s="3">
        <v>4</v>
      </c>
      <c r="AD246" t="s">
        <v>657</v>
      </c>
      <c r="AE246" s="3">
        <f t="shared" si="11"/>
        <v>1.25</v>
      </c>
      <c r="AF246" s="3">
        <f>AVERAGE(E246:U246)</f>
        <v>2.375</v>
      </c>
      <c r="AG246" s="3">
        <f>AVERAGEIF($C:$C, C246, $AE:$AE)</f>
        <v>1.2450000000000001</v>
      </c>
      <c r="AH246" s="3">
        <f t="shared" si="10"/>
        <v>1.1299999999999999</v>
      </c>
      <c r="AI246" s="3">
        <f>IF(Table1[[#This Row],[Attendance Bracket]]="&gt;75%", 1, IF(Table1[[#This Row],[Attendance Bracket]]="50-75%", 0.8, 0.6))</f>
        <v>0.8</v>
      </c>
      <c r="AJ246" s="3">
        <v>2</v>
      </c>
      <c r="AK246" s="3" t="s">
        <v>684</v>
      </c>
      <c r="AL246" s="3">
        <f>VLOOKUP(C246,Table14[[#All],[Department]:[Publication_count]], 2, FALSE)</f>
        <v>3</v>
      </c>
      <c r="AM246" s="3">
        <v>4.6666666670000003</v>
      </c>
      <c r="AN246" s="3">
        <v>3.2179487180000002</v>
      </c>
    </row>
    <row r="247" spans="1:40" x14ac:dyDescent="0.25">
      <c r="A247" t="s">
        <v>272</v>
      </c>
      <c r="B247" t="s">
        <v>572</v>
      </c>
      <c r="C247" t="s">
        <v>627</v>
      </c>
      <c r="D247" s="5" t="s">
        <v>630</v>
      </c>
      <c r="E247" s="3">
        <v>2</v>
      </c>
      <c r="F247" s="3">
        <v>4</v>
      </c>
      <c r="G247" s="3">
        <v>5</v>
      </c>
      <c r="H247" s="3">
        <v>4</v>
      </c>
      <c r="I247" s="3">
        <v>4</v>
      </c>
      <c r="J247" s="3">
        <v>4</v>
      </c>
      <c r="K247" t="s">
        <v>635</v>
      </c>
      <c r="L247" s="3">
        <f t="shared" si="9"/>
        <v>5</v>
      </c>
      <c r="M247" s="3">
        <v>5</v>
      </c>
      <c r="N247" s="3">
        <v>3</v>
      </c>
      <c r="O247" s="3">
        <v>5</v>
      </c>
      <c r="P247" s="3">
        <v>4</v>
      </c>
      <c r="Q247" s="3">
        <v>5</v>
      </c>
      <c r="R247" s="3">
        <v>3</v>
      </c>
      <c r="S247" s="3">
        <v>2</v>
      </c>
      <c r="T247" s="3">
        <v>2</v>
      </c>
      <c r="U247" s="3">
        <v>1</v>
      </c>
      <c r="V247" t="s">
        <v>636</v>
      </c>
      <c r="W247" t="s">
        <v>642</v>
      </c>
      <c r="X247" t="s">
        <v>647</v>
      </c>
      <c r="Y247" t="s">
        <v>653</v>
      </c>
      <c r="Z247" t="s">
        <v>656</v>
      </c>
      <c r="AA247" s="3">
        <v>10</v>
      </c>
      <c r="AB247">
        <v>0</v>
      </c>
      <c r="AC247" s="3">
        <v>2</v>
      </c>
      <c r="AD247" t="s">
        <v>657</v>
      </c>
      <c r="AE247" s="3">
        <f t="shared" si="11"/>
        <v>1.25</v>
      </c>
      <c r="AF247" s="3">
        <f>AVERAGE(E247:U247)</f>
        <v>3.625</v>
      </c>
      <c r="AG247" s="3">
        <f>AVERAGEIF($C:$C, C247, $AE:$AE)</f>
        <v>1.25</v>
      </c>
      <c r="AH247" s="3">
        <f t="shared" si="10"/>
        <v>2.375</v>
      </c>
      <c r="AI247" s="3">
        <f>IF(Table1[[#This Row],[Attendance Bracket]]="&gt;75%", 1, IF(Table1[[#This Row],[Attendance Bracket]]="50-75%", 0.8, 0.6))</f>
        <v>1</v>
      </c>
      <c r="AJ247" s="3">
        <v>1</v>
      </c>
      <c r="AK247" s="3" t="s">
        <v>684</v>
      </c>
      <c r="AL247" s="3">
        <f>VLOOKUP(C247,Table14[[#All],[Department]:[Publication_count]], 2, FALSE)</f>
        <v>5</v>
      </c>
      <c r="AM247" s="3">
        <v>6.3333333329999997</v>
      </c>
      <c r="AN247" s="3">
        <v>2.9743589739999998</v>
      </c>
    </row>
    <row r="248" spans="1:40" x14ac:dyDescent="0.25">
      <c r="A248" t="s">
        <v>273</v>
      </c>
      <c r="B248" t="s">
        <v>573</v>
      </c>
      <c r="C248" t="s">
        <v>629</v>
      </c>
      <c r="D248" s="5" t="s">
        <v>660</v>
      </c>
      <c r="E248" s="3">
        <v>1</v>
      </c>
      <c r="F248" s="3">
        <v>2</v>
      </c>
      <c r="G248" s="3">
        <v>3</v>
      </c>
      <c r="H248" s="3">
        <v>5</v>
      </c>
      <c r="I248" s="3">
        <v>3</v>
      </c>
      <c r="J248" s="3">
        <v>2</v>
      </c>
      <c r="K248" t="s">
        <v>634</v>
      </c>
      <c r="L248" s="3">
        <f t="shared" si="9"/>
        <v>3</v>
      </c>
      <c r="M248" s="3">
        <v>3</v>
      </c>
      <c r="N248" s="3">
        <v>5</v>
      </c>
      <c r="O248" s="3">
        <v>2</v>
      </c>
      <c r="P248" s="3">
        <v>5</v>
      </c>
      <c r="Q248" s="3">
        <v>3</v>
      </c>
      <c r="R248" s="3">
        <v>3</v>
      </c>
      <c r="S248" s="3">
        <v>4</v>
      </c>
      <c r="T248" s="3">
        <v>3</v>
      </c>
      <c r="U248" s="3">
        <v>2</v>
      </c>
      <c r="V248" t="s">
        <v>639</v>
      </c>
      <c r="W248" t="s">
        <v>645</v>
      </c>
      <c r="X248" t="s">
        <v>646</v>
      </c>
      <c r="Y248" t="s">
        <v>651</v>
      </c>
      <c r="Z248" t="s">
        <v>655</v>
      </c>
      <c r="AA248" s="3">
        <v>7</v>
      </c>
      <c r="AB248">
        <v>0</v>
      </c>
      <c r="AC248" s="3">
        <v>4</v>
      </c>
      <c r="AD248" t="s">
        <v>657</v>
      </c>
      <c r="AE248" s="3">
        <f t="shared" si="11"/>
        <v>1.25</v>
      </c>
      <c r="AF248" s="3">
        <f>AVERAGE(E248:U248)</f>
        <v>3.0625</v>
      </c>
      <c r="AG248" s="3">
        <f>AVERAGEIF($C:$C, C248, $AE:$AE)</f>
        <v>1.2450000000000001</v>
      </c>
      <c r="AH248" s="3">
        <f t="shared" si="10"/>
        <v>1.8174999999999999</v>
      </c>
      <c r="AI248" s="3">
        <f>IF(Table1[[#This Row],[Attendance Bracket]]="&gt;75%", 1, IF(Table1[[#This Row],[Attendance Bracket]]="50-75%", 0.8, 0.6))</f>
        <v>0.8</v>
      </c>
      <c r="AJ248" s="3">
        <v>3</v>
      </c>
      <c r="AK248" s="3" t="s">
        <v>634</v>
      </c>
      <c r="AL248" s="3">
        <f>VLOOKUP(C248,Table14[[#All],[Department]:[Publication_count]], 2, FALSE)</f>
        <v>3</v>
      </c>
      <c r="AM248" s="3">
        <v>4.6666666670000003</v>
      </c>
      <c r="AN248" s="3">
        <v>1.7179487179999999</v>
      </c>
    </row>
    <row r="249" spans="1:40" x14ac:dyDescent="0.25">
      <c r="A249" t="s">
        <v>274</v>
      </c>
      <c r="B249" t="s">
        <v>574</v>
      </c>
      <c r="C249" t="s">
        <v>628</v>
      </c>
      <c r="D249" s="5" t="s">
        <v>659</v>
      </c>
      <c r="E249" s="3">
        <v>3</v>
      </c>
      <c r="F249" s="3">
        <v>3</v>
      </c>
      <c r="G249" s="3">
        <v>1</v>
      </c>
      <c r="H249" s="3">
        <v>3</v>
      </c>
      <c r="I249" s="3">
        <v>4</v>
      </c>
      <c r="J249" s="3">
        <v>2</v>
      </c>
      <c r="K249" t="s">
        <v>631</v>
      </c>
      <c r="L249" s="3">
        <f t="shared" si="9"/>
        <v>4</v>
      </c>
      <c r="M249" s="3">
        <v>4</v>
      </c>
      <c r="N249" s="3">
        <v>3</v>
      </c>
      <c r="O249" s="3">
        <v>2</v>
      </c>
      <c r="P249" s="3">
        <v>5</v>
      </c>
      <c r="Q249" s="3">
        <v>2</v>
      </c>
      <c r="R249" s="3">
        <v>5</v>
      </c>
      <c r="S249" s="3">
        <v>1</v>
      </c>
      <c r="T249" s="3">
        <v>5</v>
      </c>
      <c r="U249" s="3">
        <v>3</v>
      </c>
      <c r="V249" t="s">
        <v>638</v>
      </c>
      <c r="W249" t="s">
        <v>641</v>
      </c>
      <c r="X249" t="s">
        <v>648</v>
      </c>
      <c r="Y249" t="s">
        <v>652</v>
      </c>
      <c r="Z249" t="s">
        <v>656</v>
      </c>
      <c r="AA249" s="3">
        <v>20</v>
      </c>
      <c r="AB249">
        <v>1</v>
      </c>
      <c r="AC249" s="3">
        <v>1</v>
      </c>
      <c r="AD249" t="s">
        <v>657</v>
      </c>
      <c r="AE249" s="3">
        <f t="shared" si="11"/>
        <v>1.25</v>
      </c>
      <c r="AF249" s="3">
        <f>AVERAGE(E249:U249)</f>
        <v>3.125</v>
      </c>
      <c r="AG249" s="3">
        <f>AVERAGEIF($C:$C, C249, $AE:$AE)</f>
        <v>1.25</v>
      </c>
      <c r="AH249" s="3">
        <f t="shared" si="10"/>
        <v>1.875</v>
      </c>
      <c r="AI249" s="3">
        <f>IF(Table1[[#This Row],[Attendance Bracket]]="&gt;75%", 1, IF(Table1[[#This Row],[Attendance Bracket]]="50-75%", 0.8, 0.6))</f>
        <v>0.6</v>
      </c>
      <c r="AJ249" s="3">
        <v>2</v>
      </c>
      <c r="AK249" s="3" t="s">
        <v>684</v>
      </c>
      <c r="AL249" s="3">
        <f>VLOOKUP(C249,Table14[[#All],[Department]:[Publication_count]], 2, FALSE)</f>
        <v>12</v>
      </c>
      <c r="AM249" s="3">
        <v>16.25</v>
      </c>
      <c r="AN249" s="3">
        <v>4</v>
      </c>
    </row>
    <row r="250" spans="1:40" x14ac:dyDescent="0.25">
      <c r="A250" t="s">
        <v>275</v>
      </c>
      <c r="B250" t="s">
        <v>575</v>
      </c>
      <c r="C250" t="s">
        <v>628</v>
      </c>
      <c r="D250" s="5" t="s">
        <v>659</v>
      </c>
      <c r="E250" s="3">
        <v>4</v>
      </c>
      <c r="F250" s="3">
        <v>2</v>
      </c>
      <c r="G250" s="3">
        <v>3</v>
      </c>
      <c r="H250" s="3">
        <v>5</v>
      </c>
      <c r="I250" s="3">
        <v>3</v>
      </c>
      <c r="J250" s="3">
        <v>5</v>
      </c>
      <c r="K250" t="s">
        <v>631</v>
      </c>
      <c r="L250" s="3">
        <f t="shared" si="9"/>
        <v>4</v>
      </c>
      <c r="M250" s="3">
        <v>3</v>
      </c>
      <c r="N250" s="3">
        <v>2</v>
      </c>
      <c r="O250" s="3">
        <v>5</v>
      </c>
      <c r="P250" s="3">
        <v>1</v>
      </c>
      <c r="Q250" s="3">
        <v>1</v>
      </c>
      <c r="R250" s="3">
        <v>2</v>
      </c>
      <c r="S250" s="3">
        <v>4</v>
      </c>
      <c r="T250" s="3">
        <v>3</v>
      </c>
      <c r="U250" s="3">
        <v>3</v>
      </c>
      <c r="V250" t="s">
        <v>638</v>
      </c>
      <c r="W250" t="s">
        <v>644</v>
      </c>
      <c r="X250" t="s">
        <v>648</v>
      </c>
      <c r="Y250" t="s">
        <v>651</v>
      </c>
      <c r="Z250" t="s">
        <v>655</v>
      </c>
      <c r="AA250" s="3">
        <v>12</v>
      </c>
      <c r="AB250">
        <v>1</v>
      </c>
      <c r="AC250" s="3">
        <v>1</v>
      </c>
      <c r="AD250" t="s">
        <v>657</v>
      </c>
      <c r="AE250" s="3">
        <f t="shared" si="11"/>
        <v>1.25</v>
      </c>
      <c r="AF250" s="3">
        <f>AVERAGE(E250:U250)</f>
        <v>3.125</v>
      </c>
      <c r="AG250" s="3">
        <f>AVERAGEIF($C:$C, C250, $AE:$AE)</f>
        <v>1.25</v>
      </c>
      <c r="AH250" s="3">
        <f t="shared" si="10"/>
        <v>1.875</v>
      </c>
      <c r="AI250" s="3">
        <f>IF(Table1[[#This Row],[Attendance Bracket]]="&gt;75%", 1, IF(Table1[[#This Row],[Attendance Bracket]]="50-75%", 0.8, 0.6))</f>
        <v>0.8</v>
      </c>
      <c r="AJ250" s="3">
        <v>2</v>
      </c>
      <c r="AK250" s="3" t="s">
        <v>684</v>
      </c>
      <c r="AL250" s="3">
        <f>VLOOKUP(C250,Table14[[#All],[Department]:[Publication_count]], 2, FALSE)</f>
        <v>12</v>
      </c>
      <c r="AM250" s="3">
        <v>16.25</v>
      </c>
      <c r="AN250" s="3">
        <v>3.5</v>
      </c>
    </row>
    <row r="251" spans="1:40" x14ac:dyDescent="0.25">
      <c r="A251" t="s">
        <v>276</v>
      </c>
      <c r="B251" t="s">
        <v>576</v>
      </c>
      <c r="C251" t="s">
        <v>627</v>
      </c>
      <c r="D251" s="5" t="s">
        <v>659</v>
      </c>
      <c r="E251" s="3">
        <v>5</v>
      </c>
      <c r="F251" s="3">
        <v>5</v>
      </c>
      <c r="G251" s="3">
        <v>3</v>
      </c>
      <c r="H251" s="3">
        <v>5</v>
      </c>
      <c r="I251" s="3">
        <v>5</v>
      </c>
      <c r="J251" s="3">
        <v>5</v>
      </c>
      <c r="K251" t="s">
        <v>632</v>
      </c>
      <c r="L251" s="3">
        <f t="shared" si="9"/>
        <v>1</v>
      </c>
      <c r="M251" s="3">
        <v>4</v>
      </c>
      <c r="N251" s="3">
        <v>5</v>
      </c>
      <c r="O251" s="3">
        <v>5</v>
      </c>
      <c r="P251" s="3">
        <v>2</v>
      </c>
      <c r="Q251" s="3">
        <v>5</v>
      </c>
      <c r="R251" s="3">
        <v>2</v>
      </c>
      <c r="S251" s="3">
        <v>2</v>
      </c>
      <c r="T251" s="3">
        <v>2</v>
      </c>
      <c r="U251" s="3">
        <v>1</v>
      </c>
      <c r="V251" t="s">
        <v>636</v>
      </c>
      <c r="W251" t="s">
        <v>643</v>
      </c>
      <c r="X251" t="s">
        <v>648</v>
      </c>
      <c r="Y251" t="s">
        <v>652</v>
      </c>
      <c r="Z251" t="s">
        <v>656</v>
      </c>
      <c r="AA251" s="3">
        <v>20</v>
      </c>
      <c r="AB251">
        <v>0</v>
      </c>
      <c r="AC251" s="3">
        <v>4</v>
      </c>
      <c r="AD251" t="s">
        <v>657</v>
      </c>
      <c r="AE251" s="3">
        <f t="shared" si="11"/>
        <v>1.25</v>
      </c>
      <c r="AF251" s="3">
        <f>AVERAGE(E251:U251)</f>
        <v>3.5625</v>
      </c>
      <c r="AG251" s="3">
        <f>AVERAGEIF($C:$C, C251, $AE:$AE)</f>
        <v>1.25</v>
      </c>
      <c r="AH251" s="3">
        <f t="shared" si="10"/>
        <v>2.3125</v>
      </c>
      <c r="AI251" s="3">
        <f>IF(Table1[[#This Row],[Attendance Bracket]]="&gt;75%", 1, IF(Table1[[#This Row],[Attendance Bracket]]="50-75%", 0.8, 0.6))</f>
        <v>0.6</v>
      </c>
      <c r="AJ251" s="3">
        <v>2</v>
      </c>
      <c r="AK251" s="3" t="s">
        <v>684</v>
      </c>
      <c r="AL251" s="3">
        <f>VLOOKUP(C251,Table14[[#All],[Department]:[Publication_count]], 2, FALSE)</f>
        <v>5</v>
      </c>
      <c r="AM251" s="3">
        <v>6.3333333329999997</v>
      </c>
      <c r="AN251" s="3">
        <v>3.4743589739999998</v>
      </c>
    </row>
    <row r="252" spans="1:40" x14ac:dyDescent="0.25">
      <c r="A252" t="s">
        <v>277</v>
      </c>
      <c r="B252" t="s">
        <v>577</v>
      </c>
      <c r="C252" t="s">
        <v>629</v>
      </c>
      <c r="D252" s="5" t="s">
        <v>660</v>
      </c>
      <c r="E252" s="3">
        <v>4</v>
      </c>
      <c r="F252" s="3">
        <v>5</v>
      </c>
      <c r="G252" s="3">
        <v>3</v>
      </c>
      <c r="H252" s="3">
        <v>5</v>
      </c>
      <c r="I252" s="3">
        <v>4</v>
      </c>
      <c r="J252" s="3">
        <v>2</v>
      </c>
      <c r="K252" t="s">
        <v>631</v>
      </c>
      <c r="L252" s="3">
        <f t="shared" si="9"/>
        <v>4</v>
      </c>
      <c r="M252" s="3">
        <v>4</v>
      </c>
      <c r="N252" s="3">
        <v>4</v>
      </c>
      <c r="O252" s="3">
        <v>4</v>
      </c>
      <c r="P252" s="3">
        <v>2</v>
      </c>
      <c r="Q252" s="3">
        <v>1</v>
      </c>
      <c r="R252" s="3">
        <v>1</v>
      </c>
      <c r="S252" s="3">
        <v>3</v>
      </c>
      <c r="T252" s="3">
        <v>1</v>
      </c>
      <c r="U252" s="3">
        <v>1</v>
      </c>
      <c r="V252" t="s">
        <v>636</v>
      </c>
      <c r="W252" t="s">
        <v>643</v>
      </c>
      <c r="X252" t="s">
        <v>649</v>
      </c>
      <c r="Y252" t="s">
        <v>651</v>
      </c>
      <c r="Z252" t="s">
        <v>654</v>
      </c>
      <c r="AA252" s="3">
        <v>7</v>
      </c>
      <c r="AB252">
        <v>1</v>
      </c>
      <c r="AC252" s="3">
        <v>3</v>
      </c>
      <c r="AD252" t="s">
        <v>657</v>
      </c>
      <c r="AE252" s="3">
        <f t="shared" si="11"/>
        <v>1.25</v>
      </c>
      <c r="AF252" s="3">
        <f>AVERAGE(E252:U252)</f>
        <v>3</v>
      </c>
      <c r="AG252" s="3">
        <f>AVERAGEIF($C:$C, C252, $AE:$AE)</f>
        <v>1.2450000000000001</v>
      </c>
      <c r="AH252" s="3">
        <f t="shared" si="10"/>
        <v>1.7549999999999999</v>
      </c>
      <c r="AI252" s="3">
        <f>IF(Table1[[#This Row],[Attendance Bracket]]="&gt;75%", 1, IF(Table1[[#This Row],[Attendance Bracket]]="50-75%", 0.8, 0.6))</f>
        <v>0.8</v>
      </c>
      <c r="AJ252" s="3">
        <v>2</v>
      </c>
      <c r="AK252" s="3" t="s">
        <v>684</v>
      </c>
      <c r="AL252" s="3">
        <f>VLOOKUP(C252,Table14[[#All],[Department]:[Publication_count]], 2, FALSE)</f>
        <v>3</v>
      </c>
      <c r="AM252" s="3">
        <v>4.6666666670000003</v>
      </c>
      <c r="AN252" s="3">
        <v>3.2179487180000002</v>
      </c>
    </row>
    <row r="253" spans="1:40" x14ac:dyDescent="0.25">
      <c r="A253" t="s">
        <v>278</v>
      </c>
      <c r="B253" t="s">
        <v>578</v>
      </c>
      <c r="C253" t="s">
        <v>627</v>
      </c>
      <c r="D253" s="5" t="s">
        <v>660</v>
      </c>
      <c r="E253" s="3">
        <v>1</v>
      </c>
      <c r="F253" s="3">
        <v>1</v>
      </c>
      <c r="G253" s="3">
        <v>2</v>
      </c>
      <c r="H253" s="3">
        <v>3</v>
      </c>
      <c r="I253" s="3">
        <v>1</v>
      </c>
      <c r="J253" s="3">
        <v>2</v>
      </c>
      <c r="K253" t="s">
        <v>631</v>
      </c>
      <c r="L253" s="3">
        <f t="shared" si="9"/>
        <v>4</v>
      </c>
      <c r="M253" s="3">
        <v>4</v>
      </c>
      <c r="N253" s="3">
        <v>2</v>
      </c>
      <c r="O253" s="3">
        <v>3</v>
      </c>
      <c r="P253" s="3">
        <v>1</v>
      </c>
      <c r="Q253" s="3">
        <v>3</v>
      </c>
      <c r="R253" s="3">
        <v>5</v>
      </c>
      <c r="S253" s="3">
        <v>2</v>
      </c>
      <c r="T253" s="3">
        <v>4</v>
      </c>
      <c r="U253" s="3">
        <v>4</v>
      </c>
      <c r="V253" t="s">
        <v>636</v>
      </c>
      <c r="W253" t="s">
        <v>641</v>
      </c>
      <c r="X253" t="s">
        <v>646</v>
      </c>
      <c r="Y253" t="s">
        <v>652</v>
      </c>
      <c r="Z253" t="s">
        <v>656</v>
      </c>
      <c r="AA253" s="3">
        <v>14</v>
      </c>
      <c r="AB253">
        <v>1</v>
      </c>
      <c r="AC253" s="3">
        <v>2</v>
      </c>
      <c r="AD253" t="s">
        <v>657</v>
      </c>
      <c r="AE253" s="3">
        <f>IF(AE255, 1.25, 1)</f>
        <v>1.25</v>
      </c>
      <c r="AF253" s="3">
        <f>AVERAGE(E253:U253)</f>
        <v>2.625</v>
      </c>
      <c r="AG253" s="3">
        <f>AVERAGEIF($C:$C, C253, $AE:$AE)</f>
        <v>1.25</v>
      </c>
      <c r="AH253" s="3">
        <f t="shared" si="10"/>
        <v>1.375</v>
      </c>
      <c r="AI253" s="3">
        <f>IF(Table1[[#This Row],[Attendance Bracket]]="&gt;75%", 1, IF(Table1[[#This Row],[Attendance Bracket]]="50-75%", 0.8, 0.6))</f>
        <v>0.6</v>
      </c>
      <c r="AJ253" s="3">
        <v>2</v>
      </c>
      <c r="AK253" s="3" t="s">
        <v>684</v>
      </c>
      <c r="AL253" s="3">
        <f>VLOOKUP(C253,Table14[[#All],[Department]:[Publication_count]], 2, FALSE)</f>
        <v>5</v>
      </c>
      <c r="AM253" s="3">
        <v>6.3333333329999997</v>
      </c>
      <c r="AN253" s="3">
        <v>1.474358974</v>
      </c>
    </row>
    <row r="254" spans="1:40" x14ac:dyDescent="0.25">
      <c r="A254" t="s">
        <v>279</v>
      </c>
      <c r="B254" t="s">
        <v>579</v>
      </c>
      <c r="C254" t="s">
        <v>628</v>
      </c>
      <c r="D254" s="5" t="s">
        <v>660</v>
      </c>
      <c r="E254" s="3">
        <v>5</v>
      </c>
      <c r="F254" s="3">
        <v>1</v>
      </c>
      <c r="G254" s="3">
        <v>4</v>
      </c>
      <c r="H254" s="3">
        <v>2</v>
      </c>
      <c r="I254" s="3">
        <v>5</v>
      </c>
      <c r="J254" s="3">
        <v>1</v>
      </c>
      <c r="K254" t="s">
        <v>635</v>
      </c>
      <c r="L254" s="3">
        <f t="shared" si="9"/>
        <v>5</v>
      </c>
      <c r="M254" s="3">
        <v>2</v>
      </c>
      <c r="N254" s="3">
        <v>5</v>
      </c>
      <c r="O254" s="3">
        <v>5</v>
      </c>
      <c r="P254" s="3">
        <v>2</v>
      </c>
      <c r="Q254" s="3">
        <v>5</v>
      </c>
      <c r="R254" s="3">
        <v>2</v>
      </c>
      <c r="S254" s="3">
        <v>4</v>
      </c>
      <c r="T254" s="3">
        <v>4</v>
      </c>
      <c r="U254" s="3">
        <v>2</v>
      </c>
      <c r="V254" t="s">
        <v>640</v>
      </c>
      <c r="W254" t="s">
        <v>645</v>
      </c>
      <c r="X254" t="s">
        <v>646</v>
      </c>
      <c r="Y254" t="s">
        <v>652</v>
      </c>
      <c r="Z254" t="s">
        <v>656</v>
      </c>
      <c r="AA254" s="3">
        <v>7</v>
      </c>
      <c r="AB254">
        <v>0</v>
      </c>
      <c r="AC254" s="3">
        <v>5</v>
      </c>
      <c r="AD254" t="s">
        <v>657</v>
      </c>
      <c r="AE254" s="3">
        <f>IF(AE256, 1.25, 1)</f>
        <v>1.25</v>
      </c>
      <c r="AF254" s="3">
        <f>AVERAGE(E254:U254)</f>
        <v>3.375</v>
      </c>
      <c r="AG254" s="3">
        <f>AVERAGEIF($C:$C, C254, $AE:$AE)</f>
        <v>1.25</v>
      </c>
      <c r="AH254" s="3">
        <f t="shared" si="10"/>
        <v>2.125</v>
      </c>
      <c r="AI254" s="3">
        <f>IF(Table1[[#This Row],[Attendance Bracket]]="&gt;75%", 1, IF(Table1[[#This Row],[Attendance Bracket]]="50-75%", 0.8, 0.6))</f>
        <v>0.6</v>
      </c>
      <c r="AJ254" s="3">
        <v>3</v>
      </c>
      <c r="AK254" s="3" t="s">
        <v>634</v>
      </c>
      <c r="AL254" s="3">
        <f>VLOOKUP(C254,Table14[[#All],[Department]:[Publication_count]], 2, FALSE)</f>
        <v>12</v>
      </c>
      <c r="AM254" s="3">
        <v>16.25</v>
      </c>
      <c r="AN254" s="3">
        <v>3</v>
      </c>
    </row>
    <row r="255" spans="1:40" x14ac:dyDescent="0.25">
      <c r="A255" t="s">
        <v>280</v>
      </c>
      <c r="B255" t="s">
        <v>580</v>
      </c>
      <c r="C255" t="s">
        <v>627</v>
      </c>
      <c r="D255" s="5" t="s">
        <v>659</v>
      </c>
      <c r="E255" s="3">
        <v>4</v>
      </c>
      <c r="F255" s="3">
        <v>4</v>
      </c>
      <c r="G255" s="3">
        <v>1</v>
      </c>
      <c r="H255" s="3">
        <v>5</v>
      </c>
      <c r="I255" s="3">
        <v>1</v>
      </c>
      <c r="J255" s="3">
        <v>5</v>
      </c>
      <c r="K255" t="s">
        <v>635</v>
      </c>
      <c r="L255" s="3">
        <f t="shared" si="9"/>
        <v>5</v>
      </c>
      <c r="M255" s="3">
        <v>2</v>
      </c>
      <c r="N255" s="3">
        <v>2</v>
      </c>
      <c r="O255" s="3">
        <v>2</v>
      </c>
      <c r="P255" s="3">
        <v>1</v>
      </c>
      <c r="Q255" s="3">
        <v>4</v>
      </c>
      <c r="R255" s="3">
        <v>5</v>
      </c>
      <c r="S255" s="3">
        <v>5</v>
      </c>
      <c r="T255" s="3">
        <v>3</v>
      </c>
      <c r="U255" s="3">
        <v>1</v>
      </c>
      <c r="V255" t="s">
        <v>639</v>
      </c>
      <c r="W255" t="s">
        <v>641</v>
      </c>
      <c r="X255" t="s">
        <v>648</v>
      </c>
      <c r="Y255" t="s">
        <v>652</v>
      </c>
      <c r="Z255" t="s">
        <v>655</v>
      </c>
      <c r="AA255" s="4">
        <v>5</v>
      </c>
      <c r="AB255">
        <v>1</v>
      </c>
      <c r="AC255" s="3">
        <v>2</v>
      </c>
      <c r="AD255" t="s">
        <v>657</v>
      </c>
      <c r="AE255" s="3">
        <f t="shared" si="11"/>
        <v>1.25</v>
      </c>
      <c r="AF255" s="3">
        <f>AVERAGE(E255:U255)</f>
        <v>3.125</v>
      </c>
      <c r="AG255" s="3">
        <f>AVERAGEIF($C:$C, C255, $AE:$AE)</f>
        <v>1.25</v>
      </c>
      <c r="AH255" s="3">
        <f t="shared" si="10"/>
        <v>1.875</v>
      </c>
      <c r="AI255" s="3">
        <f>IF(Table1[[#This Row],[Attendance Bracket]]="&gt;75%", 1, IF(Table1[[#This Row],[Attendance Bracket]]="50-75%", 0.8, 0.6))</f>
        <v>0.6</v>
      </c>
      <c r="AJ255" s="3">
        <v>2</v>
      </c>
      <c r="AK255" s="3" t="s">
        <v>684</v>
      </c>
      <c r="AL255" s="3">
        <f>VLOOKUP(C255,Table14[[#All],[Department]:[Publication_count]], 2, FALSE)</f>
        <v>5</v>
      </c>
      <c r="AM255" s="3">
        <v>6.3333333329999997</v>
      </c>
      <c r="AN255" s="3">
        <v>2.9743589739999998</v>
      </c>
    </row>
    <row r="256" spans="1:40" x14ac:dyDescent="0.25">
      <c r="A256" t="s">
        <v>281</v>
      </c>
      <c r="B256" t="s">
        <v>581</v>
      </c>
      <c r="C256" t="s">
        <v>627</v>
      </c>
      <c r="D256" s="5" t="s">
        <v>659</v>
      </c>
      <c r="E256" s="3">
        <v>5</v>
      </c>
      <c r="F256" s="3">
        <v>4</v>
      </c>
      <c r="G256" s="3">
        <v>2</v>
      </c>
      <c r="H256" s="3">
        <v>2</v>
      </c>
      <c r="I256" s="3">
        <v>4</v>
      </c>
      <c r="J256" s="3">
        <v>3</v>
      </c>
      <c r="K256" t="s">
        <v>632</v>
      </c>
      <c r="L256" s="3">
        <f t="shared" si="9"/>
        <v>1</v>
      </c>
      <c r="M256" s="3">
        <v>3</v>
      </c>
      <c r="N256" s="3">
        <v>2</v>
      </c>
      <c r="O256" s="3">
        <v>4</v>
      </c>
      <c r="P256" s="3">
        <v>3</v>
      </c>
      <c r="Q256" s="3">
        <v>4</v>
      </c>
      <c r="R256" s="3">
        <v>5</v>
      </c>
      <c r="S256" s="3">
        <v>5</v>
      </c>
      <c r="T256" s="3">
        <v>1</v>
      </c>
      <c r="U256" s="3">
        <v>4</v>
      </c>
      <c r="V256" t="s">
        <v>638</v>
      </c>
      <c r="W256" t="s">
        <v>644</v>
      </c>
      <c r="X256" t="s">
        <v>648</v>
      </c>
      <c r="Y256" t="s">
        <v>651</v>
      </c>
      <c r="Z256" t="s">
        <v>655</v>
      </c>
      <c r="AA256" s="3">
        <v>15</v>
      </c>
      <c r="AB256">
        <v>1</v>
      </c>
      <c r="AC256" s="3">
        <v>2</v>
      </c>
      <c r="AD256" t="s">
        <v>657</v>
      </c>
      <c r="AE256" s="3">
        <f t="shared" si="11"/>
        <v>1.25</v>
      </c>
      <c r="AF256" s="3">
        <f>AVERAGE(E256:U256)</f>
        <v>3.25</v>
      </c>
      <c r="AG256" s="3">
        <f>AVERAGEIF($C:$C, C256, $AE:$AE)</f>
        <v>1.25</v>
      </c>
      <c r="AH256" s="3">
        <f t="shared" si="10"/>
        <v>2</v>
      </c>
      <c r="AI256" s="3">
        <f>IF(Table1[[#This Row],[Attendance Bracket]]="&gt;75%", 1, IF(Table1[[#This Row],[Attendance Bracket]]="50-75%", 0.8, 0.6))</f>
        <v>0.8</v>
      </c>
      <c r="AJ256" s="3">
        <v>2</v>
      </c>
      <c r="AK256" s="3" t="s">
        <v>684</v>
      </c>
      <c r="AL256" s="3">
        <f>VLOOKUP(C256,Table14[[#All],[Department]:[Publication_count]], 2, FALSE)</f>
        <v>5</v>
      </c>
      <c r="AM256" s="3">
        <v>6.3333333329999997</v>
      </c>
      <c r="AN256" s="3">
        <v>2.9743589739999998</v>
      </c>
    </row>
    <row r="257" spans="1:40" x14ac:dyDescent="0.25">
      <c r="A257" t="s">
        <v>282</v>
      </c>
      <c r="B257" t="s">
        <v>582</v>
      </c>
      <c r="C257" t="s">
        <v>629</v>
      </c>
      <c r="D257" s="5" t="s">
        <v>660</v>
      </c>
      <c r="E257" s="3">
        <v>1</v>
      </c>
      <c r="F257" s="3">
        <v>1</v>
      </c>
      <c r="G257" s="3">
        <v>2</v>
      </c>
      <c r="H257" s="3">
        <v>1</v>
      </c>
      <c r="I257" s="3">
        <v>3</v>
      </c>
      <c r="J257" s="3">
        <v>4</v>
      </c>
      <c r="K257" t="s">
        <v>634</v>
      </c>
      <c r="L257" s="3">
        <f t="shared" si="9"/>
        <v>3</v>
      </c>
      <c r="M257" s="3">
        <v>2</v>
      </c>
      <c r="N257" s="3">
        <v>4</v>
      </c>
      <c r="O257" s="3">
        <v>2</v>
      </c>
      <c r="P257" s="3">
        <v>1</v>
      </c>
      <c r="Q257" s="3">
        <v>3</v>
      </c>
      <c r="R257" s="3">
        <v>1</v>
      </c>
      <c r="S257" s="3">
        <v>3</v>
      </c>
      <c r="T257" s="3">
        <v>5</v>
      </c>
      <c r="U257" s="3">
        <v>3</v>
      </c>
      <c r="V257" t="s">
        <v>637</v>
      </c>
      <c r="W257" t="s">
        <v>644</v>
      </c>
      <c r="X257" t="s">
        <v>648</v>
      </c>
      <c r="Y257" t="s">
        <v>652</v>
      </c>
      <c r="Z257" t="s">
        <v>655</v>
      </c>
      <c r="AA257" s="3">
        <v>14</v>
      </c>
      <c r="AB257">
        <v>0</v>
      </c>
      <c r="AC257" s="3">
        <v>3</v>
      </c>
      <c r="AD257" t="s">
        <v>657</v>
      </c>
      <c r="AE257" s="3">
        <f t="shared" si="11"/>
        <v>1.25</v>
      </c>
      <c r="AF257" s="3">
        <f>AVERAGE(E257:U257)</f>
        <v>2.4375</v>
      </c>
      <c r="AG257" s="3">
        <f>AVERAGEIF($C:$C, C257, $AE:$AE)</f>
        <v>1.2450000000000001</v>
      </c>
      <c r="AH257" s="3">
        <f t="shared" si="10"/>
        <v>1.1924999999999999</v>
      </c>
      <c r="AI257" s="3">
        <f>IF(Table1[[#This Row],[Attendance Bracket]]="&gt;75%", 1, IF(Table1[[#This Row],[Attendance Bracket]]="50-75%", 0.8, 0.6))</f>
        <v>0.6</v>
      </c>
      <c r="AJ257" s="3">
        <v>2</v>
      </c>
      <c r="AK257" s="3" t="s">
        <v>684</v>
      </c>
      <c r="AL257" s="3">
        <f>VLOOKUP(C257,Table14[[#All],[Department]:[Publication_count]], 2, FALSE)</f>
        <v>3</v>
      </c>
      <c r="AM257" s="3">
        <v>4.6666666670000003</v>
      </c>
      <c r="AN257" s="3">
        <v>1.2179487179999999</v>
      </c>
    </row>
    <row r="258" spans="1:40" x14ac:dyDescent="0.25">
      <c r="A258" t="s">
        <v>283</v>
      </c>
      <c r="B258" t="s">
        <v>583</v>
      </c>
      <c r="C258" t="s">
        <v>627</v>
      </c>
      <c r="D258" s="5" t="s">
        <v>660</v>
      </c>
      <c r="E258" s="3">
        <v>1</v>
      </c>
      <c r="F258" s="3">
        <v>5</v>
      </c>
      <c r="G258" s="3">
        <v>1</v>
      </c>
      <c r="H258" s="3">
        <v>5</v>
      </c>
      <c r="I258" s="3">
        <v>1</v>
      </c>
      <c r="J258" s="3">
        <v>2</v>
      </c>
      <c r="K258" t="s">
        <v>631</v>
      </c>
      <c r="L258" s="3">
        <f t="shared" ref="L258:L301" si="12">IF(TRIM(K258)="Strongly Agree", 5, IF(TRIM(K258)="Agree", 4, IF(TRIM(K258)="Neutral", 3, IF(TRIM(K258)="Disagree", 2, IF(TRIM(K258)="Strongly Disagree", 1, 0)))))</f>
        <v>4</v>
      </c>
      <c r="M258" s="3">
        <v>5</v>
      </c>
      <c r="N258" s="3">
        <v>4</v>
      </c>
      <c r="O258" s="3">
        <v>2</v>
      </c>
      <c r="P258" s="3">
        <v>3</v>
      </c>
      <c r="Q258" s="3">
        <v>3</v>
      </c>
      <c r="R258" s="3">
        <v>2</v>
      </c>
      <c r="S258" s="3">
        <v>2</v>
      </c>
      <c r="T258" s="3">
        <v>1</v>
      </c>
      <c r="U258" s="3">
        <v>2</v>
      </c>
      <c r="V258" t="s">
        <v>637</v>
      </c>
      <c r="W258" t="s">
        <v>641</v>
      </c>
      <c r="X258" t="s">
        <v>647</v>
      </c>
      <c r="Y258" t="s">
        <v>651</v>
      </c>
      <c r="Z258" t="s">
        <v>654</v>
      </c>
      <c r="AA258" s="3">
        <v>7</v>
      </c>
      <c r="AB258">
        <v>0</v>
      </c>
      <c r="AC258" s="3">
        <v>1</v>
      </c>
      <c r="AD258" t="s">
        <v>657</v>
      </c>
      <c r="AE258" s="3">
        <f t="shared" si="11"/>
        <v>1.25</v>
      </c>
      <c r="AF258" s="3">
        <f>AVERAGE(E258:U258)</f>
        <v>2.6875</v>
      </c>
      <c r="AG258" s="3">
        <f>AVERAGEIF($C:$C, C258, $AE:$AE)</f>
        <v>1.25</v>
      </c>
      <c r="AH258" s="3">
        <f t="shared" ref="AH258:AH301" si="13">AF258- AG258</f>
        <v>1.4375</v>
      </c>
      <c r="AI258" s="3">
        <f>IF(Table1[[#This Row],[Attendance Bracket]]="&gt;75%", 1, IF(Table1[[#This Row],[Attendance Bracket]]="50-75%", 0.8, 0.6))</f>
        <v>0.8</v>
      </c>
      <c r="AJ258" s="3">
        <v>2</v>
      </c>
      <c r="AK258" s="3" t="s">
        <v>684</v>
      </c>
      <c r="AL258" s="3">
        <f>VLOOKUP(C258,Table14[[#All],[Department]:[Publication_count]], 2, FALSE)</f>
        <v>5</v>
      </c>
      <c r="AM258" s="3">
        <v>6.3333333329999997</v>
      </c>
      <c r="AN258" s="3">
        <v>3.4743589739999998</v>
      </c>
    </row>
    <row r="259" spans="1:40" x14ac:dyDescent="0.25">
      <c r="A259" t="s">
        <v>284</v>
      </c>
      <c r="B259" t="s">
        <v>584</v>
      </c>
      <c r="C259" t="s">
        <v>628</v>
      </c>
      <c r="D259" s="5" t="s">
        <v>630</v>
      </c>
      <c r="E259" s="3">
        <v>3</v>
      </c>
      <c r="F259" s="3">
        <v>2</v>
      </c>
      <c r="G259" s="3">
        <v>2</v>
      </c>
      <c r="H259" s="3">
        <v>2</v>
      </c>
      <c r="I259" s="3">
        <v>1</v>
      </c>
      <c r="J259" s="3">
        <v>4</v>
      </c>
      <c r="K259" t="s">
        <v>635</v>
      </c>
      <c r="L259" s="3">
        <f t="shared" si="12"/>
        <v>5</v>
      </c>
      <c r="M259" s="3">
        <v>1</v>
      </c>
      <c r="N259" s="3">
        <v>4</v>
      </c>
      <c r="O259" s="3">
        <v>3</v>
      </c>
      <c r="P259" s="3">
        <v>5</v>
      </c>
      <c r="Q259" s="3">
        <v>3</v>
      </c>
      <c r="R259" s="3">
        <v>2</v>
      </c>
      <c r="S259" s="3">
        <v>4</v>
      </c>
      <c r="T259" s="3">
        <v>2</v>
      </c>
      <c r="U259" s="3">
        <v>2</v>
      </c>
      <c r="V259" t="s">
        <v>639</v>
      </c>
      <c r="W259" t="s">
        <v>644</v>
      </c>
      <c r="X259" t="s">
        <v>646</v>
      </c>
      <c r="Y259" t="s">
        <v>653</v>
      </c>
      <c r="Z259" t="s">
        <v>655</v>
      </c>
      <c r="AA259" s="3">
        <v>20</v>
      </c>
      <c r="AB259">
        <v>1</v>
      </c>
      <c r="AC259" s="3">
        <v>1</v>
      </c>
      <c r="AD259" t="s">
        <v>657</v>
      </c>
      <c r="AE259" s="3">
        <f t="shared" si="11"/>
        <v>1.25</v>
      </c>
      <c r="AF259" s="3">
        <f>AVERAGE(E259:U259)</f>
        <v>2.8125</v>
      </c>
      <c r="AG259" s="3">
        <f>AVERAGEIF($C:$C, C259, $AE:$AE)</f>
        <v>1.25</v>
      </c>
      <c r="AH259" s="3">
        <f t="shared" si="13"/>
        <v>1.5625</v>
      </c>
      <c r="AI259" s="3">
        <f>IF(Table1[[#This Row],[Attendance Bracket]]="&gt;75%", 1, IF(Table1[[#This Row],[Attendance Bracket]]="50-75%", 0.8, 0.6))</f>
        <v>1</v>
      </c>
      <c r="AJ259" s="3">
        <v>2</v>
      </c>
      <c r="AK259" s="3" t="s">
        <v>684</v>
      </c>
      <c r="AL259" s="3">
        <f>VLOOKUP(C259,Table14[[#All],[Department]:[Publication_count]], 2, FALSE)</f>
        <v>12</v>
      </c>
      <c r="AM259" s="3">
        <v>16.25</v>
      </c>
      <c r="AN259" s="3">
        <v>3.5</v>
      </c>
    </row>
    <row r="260" spans="1:40" x14ac:dyDescent="0.25">
      <c r="A260" t="s">
        <v>285</v>
      </c>
      <c r="B260" t="s">
        <v>585</v>
      </c>
      <c r="C260" t="s">
        <v>629</v>
      </c>
      <c r="D260" s="5" t="s">
        <v>660</v>
      </c>
      <c r="E260" s="3">
        <v>4</v>
      </c>
      <c r="F260" s="3">
        <v>4</v>
      </c>
      <c r="G260" s="3">
        <v>4</v>
      </c>
      <c r="H260" s="3">
        <v>1</v>
      </c>
      <c r="I260" s="3">
        <v>4</v>
      </c>
      <c r="J260" s="3">
        <v>4</v>
      </c>
      <c r="K260" t="s">
        <v>632</v>
      </c>
      <c r="L260" s="3">
        <f t="shared" si="12"/>
        <v>1</v>
      </c>
      <c r="M260" s="3">
        <v>3</v>
      </c>
      <c r="N260" s="3">
        <v>4</v>
      </c>
      <c r="O260" s="3">
        <v>1</v>
      </c>
      <c r="P260" s="3">
        <v>2</v>
      </c>
      <c r="Q260" s="3">
        <v>5</v>
      </c>
      <c r="R260" s="3">
        <v>4</v>
      </c>
      <c r="S260" s="3">
        <v>5</v>
      </c>
      <c r="T260" s="3">
        <v>4</v>
      </c>
      <c r="U260" s="3">
        <v>4</v>
      </c>
      <c r="V260" t="s">
        <v>637</v>
      </c>
      <c r="W260" t="s">
        <v>644</v>
      </c>
      <c r="X260" t="s">
        <v>648</v>
      </c>
      <c r="Y260" t="s">
        <v>653</v>
      </c>
      <c r="Z260" t="s">
        <v>656</v>
      </c>
      <c r="AA260" s="3">
        <v>9</v>
      </c>
      <c r="AB260">
        <v>1</v>
      </c>
      <c r="AC260" s="3">
        <v>3</v>
      </c>
      <c r="AD260" t="s">
        <v>657</v>
      </c>
      <c r="AE260" s="3">
        <f t="shared" ref="AE260:AE299" si="14">IF(AE262, 1.25, 1)</f>
        <v>1.25</v>
      </c>
      <c r="AF260" s="3">
        <f>AVERAGE(E260:U260)</f>
        <v>3.375</v>
      </c>
      <c r="AG260" s="3">
        <f>AVERAGEIF($C:$C, C260, $AE:$AE)</f>
        <v>1.2450000000000001</v>
      </c>
      <c r="AH260" s="3">
        <f t="shared" si="13"/>
        <v>2.13</v>
      </c>
      <c r="AI260" s="3">
        <f>IF(Table1[[#This Row],[Attendance Bracket]]="&gt;75%", 1, IF(Table1[[#This Row],[Attendance Bracket]]="50-75%", 0.8, 0.6))</f>
        <v>1</v>
      </c>
      <c r="AJ260" s="3">
        <v>2</v>
      </c>
      <c r="AK260" s="3" t="s">
        <v>684</v>
      </c>
      <c r="AL260" s="3">
        <f>VLOOKUP(C260,Table14[[#All],[Department]:[Publication_count]], 2, FALSE)</f>
        <v>3</v>
      </c>
      <c r="AM260" s="3">
        <v>4.6666666670000003</v>
      </c>
      <c r="AN260" s="3">
        <v>2.7179487180000002</v>
      </c>
    </row>
    <row r="261" spans="1:40" x14ac:dyDescent="0.25">
      <c r="A261" t="s">
        <v>286</v>
      </c>
      <c r="B261" t="s">
        <v>586</v>
      </c>
      <c r="C261" t="s">
        <v>629</v>
      </c>
      <c r="D261" s="5" t="s">
        <v>660</v>
      </c>
      <c r="E261" s="3">
        <v>5</v>
      </c>
      <c r="F261" s="3">
        <v>2</v>
      </c>
      <c r="G261" s="3">
        <v>4</v>
      </c>
      <c r="H261" s="3">
        <v>5</v>
      </c>
      <c r="I261" s="3">
        <v>1</v>
      </c>
      <c r="J261" s="3">
        <v>1</v>
      </c>
      <c r="K261" t="s">
        <v>632</v>
      </c>
      <c r="L261" s="3">
        <f t="shared" si="12"/>
        <v>1</v>
      </c>
      <c r="M261" s="3">
        <v>1</v>
      </c>
      <c r="N261" s="3">
        <v>5</v>
      </c>
      <c r="O261" s="3">
        <v>2</v>
      </c>
      <c r="P261" s="3">
        <v>5</v>
      </c>
      <c r="Q261" s="3">
        <v>1</v>
      </c>
      <c r="R261" s="3">
        <v>4</v>
      </c>
      <c r="S261" s="3">
        <v>1</v>
      </c>
      <c r="T261" s="3">
        <v>1</v>
      </c>
      <c r="U261" s="3">
        <v>4</v>
      </c>
      <c r="V261" t="s">
        <v>640</v>
      </c>
      <c r="W261" t="s">
        <v>641</v>
      </c>
      <c r="X261" t="s">
        <v>646</v>
      </c>
      <c r="Y261" t="s">
        <v>652</v>
      </c>
      <c r="Z261" t="s">
        <v>656</v>
      </c>
      <c r="AA261" s="3">
        <v>12</v>
      </c>
      <c r="AB261">
        <v>1</v>
      </c>
      <c r="AC261" s="3">
        <v>5</v>
      </c>
      <c r="AD261" t="s">
        <v>657</v>
      </c>
      <c r="AE261" s="3">
        <f t="shared" si="14"/>
        <v>1.25</v>
      </c>
      <c r="AF261" s="3">
        <f>AVERAGE(E261:U261)</f>
        <v>2.6875</v>
      </c>
      <c r="AG261" s="3">
        <f>AVERAGEIF($C:$C, C261, $AE:$AE)</f>
        <v>1.2450000000000001</v>
      </c>
      <c r="AH261" s="3">
        <f t="shared" si="13"/>
        <v>1.4424999999999999</v>
      </c>
      <c r="AI261" s="3">
        <f>IF(Table1[[#This Row],[Attendance Bracket]]="&gt;75%", 1, IF(Table1[[#This Row],[Attendance Bracket]]="50-75%", 0.8, 0.6))</f>
        <v>0.6</v>
      </c>
      <c r="AJ261" s="3">
        <v>2</v>
      </c>
      <c r="AK261" s="3" t="s">
        <v>684</v>
      </c>
      <c r="AL261" s="3">
        <f>VLOOKUP(C261,Table14[[#All],[Department]:[Publication_count]], 2, FALSE)</f>
        <v>3</v>
      </c>
      <c r="AM261" s="3">
        <v>4.6666666670000003</v>
      </c>
      <c r="AN261" s="3">
        <v>1.7179487179999999</v>
      </c>
    </row>
    <row r="262" spans="1:40" x14ac:dyDescent="0.25">
      <c r="A262" t="s">
        <v>287</v>
      </c>
      <c r="B262" t="s">
        <v>587</v>
      </c>
      <c r="C262" t="s">
        <v>628</v>
      </c>
      <c r="D262" s="5" t="s">
        <v>659</v>
      </c>
      <c r="E262" s="3">
        <v>5</v>
      </c>
      <c r="F262" s="3">
        <v>3</v>
      </c>
      <c r="G262" s="3">
        <v>5</v>
      </c>
      <c r="H262" s="3">
        <v>5</v>
      </c>
      <c r="I262" s="3">
        <v>3</v>
      </c>
      <c r="J262" s="3">
        <v>4</v>
      </c>
      <c r="K262" t="s">
        <v>631</v>
      </c>
      <c r="L262" s="3">
        <f t="shared" si="12"/>
        <v>4</v>
      </c>
      <c r="M262" s="3">
        <v>5</v>
      </c>
      <c r="N262" s="3">
        <v>3</v>
      </c>
      <c r="O262" s="3">
        <v>3</v>
      </c>
      <c r="P262" s="3">
        <v>4</v>
      </c>
      <c r="Q262" s="3">
        <v>3</v>
      </c>
      <c r="R262" s="3">
        <v>3</v>
      </c>
      <c r="S262" s="3">
        <v>3</v>
      </c>
      <c r="T262" s="3">
        <v>5</v>
      </c>
      <c r="U262" s="3">
        <v>3</v>
      </c>
      <c r="V262" t="s">
        <v>637</v>
      </c>
      <c r="W262" t="s">
        <v>643</v>
      </c>
      <c r="X262" t="s">
        <v>648</v>
      </c>
      <c r="Y262" t="s">
        <v>653</v>
      </c>
      <c r="Z262" t="s">
        <v>656</v>
      </c>
      <c r="AA262" s="3">
        <v>12</v>
      </c>
      <c r="AB262">
        <v>1</v>
      </c>
      <c r="AC262" s="3">
        <v>4</v>
      </c>
      <c r="AD262" t="s">
        <v>657</v>
      </c>
      <c r="AE262" s="3">
        <f t="shared" si="14"/>
        <v>1.25</v>
      </c>
      <c r="AF262" s="3">
        <f>AVERAGE(E262:U262)</f>
        <v>3.8125</v>
      </c>
      <c r="AG262" s="3">
        <f>AVERAGEIF($C:$C, C262, $AE:$AE)</f>
        <v>1.25</v>
      </c>
      <c r="AH262" s="3">
        <f t="shared" si="13"/>
        <v>2.5625</v>
      </c>
      <c r="AI262" s="3">
        <f>IF(Table1[[#This Row],[Attendance Bracket]]="&gt;75%", 1, IF(Table1[[#This Row],[Attendance Bracket]]="50-75%", 0.8, 0.6))</f>
        <v>1</v>
      </c>
      <c r="AJ262" s="3">
        <v>2</v>
      </c>
      <c r="AK262" s="3" t="s">
        <v>684</v>
      </c>
      <c r="AL262" s="3">
        <f>VLOOKUP(C262,Table14[[#All],[Department]:[Publication_count]], 2, FALSE)</f>
        <v>12</v>
      </c>
      <c r="AM262" s="3">
        <v>16.25</v>
      </c>
      <c r="AN262" s="3">
        <v>4</v>
      </c>
    </row>
    <row r="263" spans="1:40" x14ac:dyDescent="0.25">
      <c r="A263" t="s">
        <v>288</v>
      </c>
      <c r="B263" t="s">
        <v>588</v>
      </c>
      <c r="C263" t="s">
        <v>629</v>
      </c>
      <c r="D263" s="5" t="s">
        <v>659</v>
      </c>
      <c r="E263" s="3">
        <v>4</v>
      </c>
      <c r="F263" s="3">
        <v>2</v>
      </c>
      <c r="G263" s="3">
        <v>5</v>
      </c>
      <c r="H263" s="3">
        <v>3</v>
      </c>
      <c r="I263" s="3">
        <v>2</v>
      </c>
      <c r="J263" s="3">
        <v>2</v>
      </c>
      <c r="K263" t="s">
        <v>632</v>
      </c>
      <c r="L263" s="3">
        <f t="shared" si="12"/>
        <v>1</v>
      </c>
      <c r="M263" s="3">
        <v>2</v>
      </c>
      <c r="N263" s="3">
        <v>4</v>
      </c>
      <c r="O263" s="3">
        <v>3</v>
      </c>
      <c r="P263" s="3">
        <v>5</v>
      </c>
      <c r="Q263" s="3">
        <v>1</v>
      </c>
      <c r="R263" s="3">
        <v>2</v>
      </c>
      <c r="S263" s="3">
        <v>3</v>
      </c>
      <c r="T263" s="3">
        <v>3</v>
      </c>
      <c r="U263" s="3">
        <v>1</v>
      </c>
      <c r="V263" t="s">
        <v>639</v>
      </c>
      <c r="W263" t="s">
        <v>641</v>
      </c>
      <c r="X263" t="s">
        <v>648</v>
      </c>
      <c r="Y263" t="s">
        <v>653</v>
      </c>
      <c r="Z263" t="s">
        <v>655</v>
      </c>
      <c r="AA263" s="3">
        <v>6</v>
      </c>
      <c r="AB263">
        <v>1</v>
      </c>
      <c r="AC263" s="3">
        <v>2</v>
      </c>
      <c r="AD263" t="s">
        <v>657</v>
      </c>
      <c r="AE263" s="3">
        <f t="shared" si="14"/>
        <v>1.25</v>
      </c>
      <c r="AF263" s="3">
        <f>AVERAGE(E263:U263)</f>
        <v>2.6875</v>
      </c>
      <c r="AG263" s="3">
        <f>AVERAGEIF($C:$C, C263, $AE:$AE)</f>
        <v>1.2450000000000001</v>
      </c>
      <c r="AH263" s="3">
        <f t="shared" si="13"/>
        <v>1.4424999999999999</v>
      </c>
      <c r="AI263" s="3">
        <f>IF(Table1[[#This Row],[Attendance Bracket]]="&gt;75%", 1, IF(Table1[[#This Row],[Attendance Bracket]]="50-75%", 0.8, 0.6))</f>
        <v>1</v>
      </c>
      <c r="AJ263" s="3">
        <v>2</v>
      </c>
      <c r="AK263" s="3" t="s">
        <v>684</v>
      </c>
      <c r="AL263" s="3">
        <f>VLOOKUP(C263,Table14[[#All],[Department]:[Publication_count]], 2, FALSE)</f>
        <v>3</v>
      </c>
      <c r="AM263" s="3">
        <v>4.6666666670000003</v>
      </c>
      <c r="AN263" s="3">
        <v>1.7179487179999999</v>
      </c>
    </row>
    <row r="264" spans="1:40" x14ac:dyDescent="0.25">
      <c r="A264" t="s">
        <v>289</v>
      </c>
      <c r="B264" t="s">
        <v>589</v>
      </c>
      <c r="C264" t="s">
        <v>629</v>
      </c>
      <c r="D264" s="5" t="s">
        <v>630</v>
      </c>
      <c r="E264" s="3">
        <v>4</v>
      </c>
      <c r="F264" s="3">
        <v>2</v>
      </c>
      <c r="G264" s="3">
        <v>4</v>
      </c>
      <c r="H264" s="3">
        <v>3</v>
      </c>
      <c r="I264" s="3">
        <v>5</v>
      </c>
      <c r="J264" s="3">
        <v>2</v>
      </c>
      <c r="K264" t="s">
        <v>635</v>
      </c>
      <c r="L264" s="3">
        <f t="shared" si="12"/>
        <v>5</v>
      </c>
      <c r="M264" s="3">
        <v>5</v>
      </c>
      <c r="N264" s="3">
        <v>2</v>
      </c>
      <c r="O264" s="3">
        <v>3</v>
      </c>
      <c r="P264" s="3">
        <v>5</v>
      </c>
      <c r="Q264" s="3">
        <v>4</v>
      </c>
      <c r="R264" s="3">
        <v>1</v>
      </c>
      <c r="S264" s="3">
        <v>1</v>
      </c>
      <c r="T264" s="3">
        <v>4</v>
      </c>
      <c r="U264" s="3">
        <v>3</v>
      </c>
      <c r="V264" t="s">
        <v>636</v>
      </c>
      <c r="W264" t="s">
        <v>643</v>
      </c>
      <c r="X264" t="s">
        <v>649</v>
      </c>
      <c r="Y264" t="s">
        <v>653</v>
      </c>
      <c r="Z264" t="s">
        <v>655</v>
      </c>
      <c r="AA264" s="3">
        <v>15</v>
      </c>
      <c r="AB264">
        <v>1</v>
      </c>
      <c r="AC264" s="3">
        <v>3</v>
      </c>
      <c r="AD264" t="s">
        <v>657</v>
      </c>
      <c r="AE264" s="3">
        <f t="shared" si="14"/>
        <v>1.25</v>
      </c>
      <c r="AF264" s="3">
        <f>AVERAGE(E264:U264)</f>
        <v>3.3125</v>
      </c>
      <c r="AG264" s="3">
        <f>AVERAGEIF($C:$C, C264, $AE:$AE)</f>
        <v>1.2450000000000001</v>
      </c>
      <c r="AH264" s="3">
        <f t="shared" si="13"/>
        <v>2.0674999999999999</v>
      </c>
      <c r="AI264" s="3">
        <f>IF(Table1[[#This Row],[Attendance Bracket]]="&gt;75%", 1, IF(Table1[[#This Row],[Attendance Bracket]]="50-75%", 0.8, 0.6))</f>
        <v>1</v>
      </c>
      <c r="AJ264" s="3">
        <v>2</v>
      </c>
      <c r="AK264" s="3" t="s">
        <v>684</v>
      </c>
      <c r="AL264" s="3">
        <f>VLOOKUP(C264,Table14[[#All],[Department]:[Publication_count]], 2, FALSE)</f>
        <v>3</v>
      </c>
      <c r="AM264" s="3">
        <v>4.6666666670000003</v>
      </c>
      <c r="AN264" s="3">
        <v>1.7179487179999999</v>
      </c>
    </row>
    <row r="265" spans="1:40" x14ac:dyDescent="0.25">
      <c r="A265" t="s">
        <v>290</v>
      </c>
      <c r="B265" t="s">
        <v>590</v>
      </c>
      <c r="C265" t="s">
        <v>627</v>
      </c>
      <c r="D265" s="5" t="s">
        <v>630</v>
      </c>
      <c r="E265" s="3">
        <v>2</v>
      </c>
      <c r="F265" s="3">
        <v>3</v>
      </c>
      <c r="G265" s="3">
        <v>5</v>
      </c>
      <c r="H265" s="3">
        <v>5</v>
      </c>
      <c r="I265" s="3">
        <v>2</v>
      </c>
      <c r="J265" s="3">
        <v>3</v>
      </c>
      <c r="K265" t="s">
        <v>632</v>
      </c>
      <c r="L265" s="3">
        <f t="shared" si="12"/>
        <v>1</v>
      </c>
      <c r="M265" s="3">
        <v>4</v>
      </c>
      <c r="N265" s="3">
        <v>3</v>
      </c>
      <c r="O265" s="3">
        <v>2</v>
      </c>
      <c r="P265" s="3">
        <v>5</v>
      </c>
      <c r="Q265" s="3">
        <v>2</v>
      </c>
      <c r="R265" s="3">
        <v>3</v>
      </c>
      <c r="S265" s="3">
        <v>2</v>
      </c>
      <c r="T265" s="3">
        <v>5</v>
      </c>
      <c r="U265" s="3">
        <v>3</v>
      </c>
      <c r="V265" t="s">
        <v>636</v>
      </c>
      <c r="W265" t="s">
        <v>645</v>
      </c>
      <c r="X265" t="s">
        <v>650</v>
      </c>
      <c r="Y265" t="s">
        <v>651</v>
      </c>
      <c r="Z265" t="s">
        <v>655</v>
      </c>
      <c r="AA265" s="3">
        <v>12</v>
      </c>
      <c r="AB265">
        <v>0</v>
      </c>
      <c r="AC265" s="3">
        <v>1</v>
      </c>
      <c r="AD265" t="s">
        <v>657</v>
      </c>
      <c r="AE265" s="3">
        <f t="shared" si="14"/>
        <v>1.25</v>
      </c>
      <c r="AF265" s="3">
        <f>AVERAGE(E265:U265)</f>
        <v>3.125</v>
      </c>
      <c r="AG265" s="3">
        <f>AVERAGEIF($C:$C, C265, $AE:$AE)</f>
        <v>1.25</v>
      </c>
      <c r="AH265" s="3">
        <f t="shared" si="13"/>
        <v>1.875</v>
      </c>
      <c r="AI265" s="3">
        <f>IF(Table1[[#This Row],[Attendance Bracket]]="&gt;75%", 1, IF(Table1[[#This Row],[Attendance Bracket]]="50-75%", 0.8, 0.6))</f>
        <v>0.8</v>
      </c>
      <c r="AJ265" s="3">
        <v>3</v>
      </c>
      <c r="AK265" s="3" t="s">
        <v>634</v>
      </c>
      <c r="AL265" s="3">
        <f>VLOOKUP(C265,Table14[[#All],[Department]:[Publication_count]], 2, FALSE)</f>
        <v>5</v>
      </c>
      <c r="AM265" s="3">
        <v>6.3333333329999997</v>
      </c>
      <c r="AN265" s="3">
        <v>2.4743589739999998</v>
      </c>
    </row>
    <row r="266" spans="1:40" x14ac:dyDescent="0.25">
      <c r="A266" t="s">
        <v>291</v>
      </c>
      <c r="B266" t="s">
        <v>591</v>
      </c>
      <c r="C266" t="s">
        <v>627</v>
      </c>
      <c r="D266" s="5" t="s">
        <v>659</v>
      </c>
      <c r="E266" s="3">
        <v>2</v>
      </c>
      <c r="F266" s="3">
        <v>5</v>
      </c>
      <c r="G266" s="3">
        <v>4</v>
      </c>
      <c r="H266" s="3">
        <v>5</v>
      </c>
      <c r="I266" s="3">
        <v>4</v>
      </c>
      <c r="J266" s="3">
        <v>5</v>
      </c>
      <c r="K266" t="s">
        <v>633</v>
      </c>
      <c r="L266" s="3">
        <f t="shared" si="12"/>
        <v>2</v>
      </c>
      <c r="M266" s="3">
        <v>3</v>
      </c>
      <c r="N266" s="3">
        <v>1</v>
      </c>
      <c r="O266" s="3">
        <v>2</v>
      </c>
      <c r="P266" s="3">
        <v>3</v>
      </c>
      <c r="Q266" s="3">
        <v>3</v>
      </c>
      <c r="R266" s="3">
        <v>5</v>
      </c>
      <c r="S266" s="3">
        <v>3</v>
      </c>
      <c r="T266" s="3">
        <v>2</v>
      </c>
      <c r="U266" s="3">
        <v>4</v>
      </c>
      <c r="V266" t="s">
        <v>637</v>
      </c>
      <c r="W266" t="s">
        <v>644</v>
      </c>
      <c r="X266" t="s">
        <v>647</v>
      </c>
      <c r="Y266" t="s">
        <v>652</v>
      </c>
      <c r="Z266" t="s">
        <v>656</v>
      </c>
      <c r="AA266" s="3">
        <v>19</v>
      </c>
      <c r="AB266">
        <v>1</v>
      </c>
      <c r="AC266" s="3">
        <v>1</v>
      </c>
      <c r="AD266" t="s">
        <v>657</v>
      </c>
      <c r="AE266" s="3">
        <f t="shared" si="14"/>
        <v>1.25</v>
      </c>
      <c r="AF266" s="3">
        <f>AVERAGE(E266:U266)</f>
        <v>3.3125</v>
      </c>
      <c r="AG266" s="3">
        <f>AVERAGEIF($C:$C, C266, $AE:$AE)</f>
        <v>1.25</v>
      </c>
      <c r="AH266" s="3">
        <f t="shared" si="13"/>
        <v>2.0625</v>
      </c>
      <c r="AI266" s="3">
        <f>IF(Table1[[#This Row],[Attendance Bracket]]="&gt;75%", 1, IF(Table1[[#This Row],[Attendance Bracket]]="50-75%", 0.8, 0.6))</f>
        <v>0.6</v>
      </c>
      <c r="AJ266" s="3">
        <v>2</v>
      </c>
      <c r="AK266" s="3" t="s">
        <v>684</v>
      </c>
      <c r="AL266" s="3">
        <f>VLOOKUP(C266,Table14[[#All],[Department]:[Publication_count]], 2, FALSE)</f>
        <v>5</v>
      </c>
      <c r="AM266" s="3">
        <v>6.3333333329999997</v>
      </c>
      <c r="AN266" s="3">
        <v>3.4743589739999998</v>
      </c>
    </row>
    <row r="267" spans="1:40" x14ac:dyDescent="0.25">
      <c r="A267" t="s">
        <v>292</v>
      </c>
      <c r="B267" t="s">
        <v>592</v>
      </c>
      <c r="C267" t="s">
        <v>628</v>
      </c>
      <c r="D267" s="5" t="s">
        <v>660</v>
      </c>
      <c r="E267" s="3">
        <v>3</v>
      </c>
      <c r="F267" s="3">
        <v>2</v>
      </c>
      <c r="G267" s="3">
        <v>4</v>
      </c>
      <c r="H267" s="3">
        <v>3</v>
      </c>
      <c r="I267" s="3">
        <v>3</v>
      </c>
      <c r="J267" s="3">
        <v>1</v>
      </c>
      <c r="K267" t="s">
        <v>631</v>
      </c>
      <c r="L267" s="3">
        <f t="shared" si="12"/>
        <v>4</v>
      </c>
      <c r="M267" s="3">
        <v>5</v>
      </c>
      <c r="N267" s="3">
        <v>4</v>
      </c>
      <c r="O267" s="3">
        <v>3</v>
      </c>
      <c r="P267" s="3">
        <v>4</v>
      </c>
      <c r="Q267" s="3">
        <v>1</v>
      </c>
      <c r="R267" s="3">
        <v>3</v>
      </c>
      <c r="S267" s="3">
        <v>1</v>
      </c>
      <c r="T267" s="3">
        <v>1</v>
      </c>
      <c r="U267" s="3">
        <v>5</v>
      </c>
      <c r="V267" t="s">
        <v>637</v>
      </c>
      <c r="W267" t="s">
        <v>645</v>
      </c>
      <c r="X267" t="s">
        <v>647</v>
      </c>
      <c r="Y267" t="s">
        <v>651</v>
      </c>
      <c r="Z267" t="s">
        <v>656</v>
      </c>
      <c r="AA267" s="3">
        <v>12</v>
      </c>
      <c r="AB267">
        <v>1</v>
      </c>
      <c r="AC267" s="3">
        <v>3</v>
      </c>
      <c r="AD267" t="s">
        <v>657</v>
      </c>
      <c r="AE267" s="3">
        <f t="shared" si="14"/>
        <v>1.25</v>
      </c>
      <c r="AF267" s="3">
        <f>AVERAGE(E267:U267)</f>
        <v>2.9375</v>
      </c>
      <c r="AG267" s="3">
        <f>AVERAGEIF($C:$C, C267, $AE:$AE)</f>
        <v>1.25</v>
      </c>
      <c r="AH267" s="3">
        <f t="shared" si="13"/>
        <v>1.6875</v>
      </c>
      <c r="AI267" s="3">
        <f>IF(Table1[[#This Row],[Attendance Bracket]]="&gt;75%", 1, IF(Table1[[#This Row],[Attendance Bracket]]="50-75%", 0.8, 0.6))</f>
        <v>0.8</v>
      </c>
      <c r="AJ267" s="3">
        <v>3</v>
      </c>
      <c r="AK267" s="3" t="s">
        <v>634</v>
      </c>
      <c r="AL267" s="3">
        <f>VLOOKUP(C267,Table14[[#All],[Department]:[Publication_count]], 2, FALSE)</f>
        <v>12</v>
      </c>
      <c r="AM267" s="3">
        <v>16.25</v>
      </c>
      <c r="AN267" s="3">
        <v>3.5</v>
      </c>
    </row>
    <row r="268" spans="1:40" x14ac:dyDescent="0.25">
      <c r="A268" t="s">
        <v>293</v>
      </c>
      <c r="B268" t="s">
        <v>593</v>
      </c>
      <c r="C268" t="s">
        <v>627</v>
      </c>
      <c r="D268" s="5" t="s">
        <v>660</v>
      </c>
      <c r="E268" s="3">
        <v>5</v>
      </c>
      <c r="F268" s="3">
        <v>4</v>
      </c>
      <c r="G268" s="3">
        <v>4</v>
      </c>
      <c r="H268" s="3">
        <v>2</v>
      </c>
      <c r="I268" s="3">
        <v>4</v>
      </c>
      <c r="J268" s="3">
        <v>3</v>
      </c>
      <c r="K268" t="s">
        <v>632</v>
      </c>
      <c r="L268" s="3">
        <f t="shared" si="12"/>
        <v>1</v>
      </c>
      <c r="M268" s="3">
        <v>3</v>
      </c>
      <c r="N268" s="3">
        <v>1</v>
      </c>
      <c r="O268" s="3">
        <v>4</v>
      </c>
      <c r="P268" s="3">
        <v>5</v>
      </c>
      <c r="Q268" s="3">
        <v>3</v>
      </c>
      <c r="R268" s="3">
        <v>3</v>
      </c>
      <c r="S268" s="3">
        <v>3</v>
      </c>
      <c r="T268" s="3">
        <v>1</v>
      </c>
      <c r="U268" s="3">
        <v>2</v>
      </c>
      <c r="V268" t="s">
        <v>640</v>
      </c>
      <c r="W268" t="s">
        <v>642</v>
      </c>
      <c r="X268" t="s">
        <v>646</v>
      </c>
      <c r="Y268" t="s">
        <v>652</v>
      </c>
      <c r="Z268" t="s">
        <v>654</v>
      </c>
      <c r="AA268" s="3">
        <v>16</v>
      </c>
      <c r="AB268">
        <v>1</v>
      </c>
      <c r="AC268" s="3">
        <v>3</v>
      </c>
      <c r="AD268" t="s">
        <v>657</v>
      </c>
      <c r="AE268" s="3">
        <f t="shared" si="14"/>
        <v>1.25</v>
      </c>
      <c r="AF268" s="3">
        <f>AVERAGE(E268:U268)</f>
        <v>3</v>
      </c>
      <c r="AG268" s="3">
        <f>AVERAGEIF($C:$C, C268, $AE:$AE)</f>
        <v>1.25</v>
      </c>
      <c r="AH268" s="3">
        <f t="shared" si="13"/>
        <v>1.75</v>
      </c>
      <c r="AI268" s="3">
        <f>IF(Table1[[#This Row],[Attendance Bracket]]="&gt;75%", 1, IF(Table1[[#This Row],[Attendance Bracket]]="50-75%", 0.8, 0.6))</f>
        <v>0.6</v>
      </c>
      <c r="AJ268" s="3">
        <v>1</v>
      </c>
      <c r="AK268" s="3" t="s">
        <v>684</v>
      </c>
      <c r="AL268" s="3">
        <f>VLOOKUP(C268,Table14[[#All],[Department]:[Publication_count]], 2, FALSE)</f>
        <v>5</v>
      </c>
      <c r="AM268" s="3">
        <v>6.3333333329999997</v>
      </c>
      <c r="AN268" s="3">
        <v>2.9743589739999998</v>
      </c>
    </row>
    <row r="269" spans="1:40" x14ac:dyDescent="0.25">
      <c r="A269" t="s">
        <v>294</v>
      </c>
      <c r="B269" t="s">
        <v>594</v>
      </c>
      <c r="C269" t="s">
        <v>629</v>
      </c>
      <c r="D269" s="5" t="s">
        <v>659</v>
      </c>
      <c r="E269" s="3">
        <v>3</v>
      </c>
      <c r="F269" s="3">
        <v>1</v>
      </c>
      <c r="G269" s="3">
        <v>5</v>
      </c>
      <c r="H269" s="3">
        <v>3</v>
      </c>
      <c r="I269" s="3">
        <v>4</v>
      </c>
      <c r="J269" s="3">
        <v>4</v>
      </c>
      <c r="K269" t="s">
        <v>635</v>
      </c>
      <c r="L269" s="3">
        <f t="shared" si="12"/>
        <v>5</v>
      </c>
      <c r="M269" s="3">
        <v>1</v>
      </c>
      <c r="N269" s="3">
        <v>1</v>
      </c>
      <c r="O269" s="3">
        <v>3</v>
      </c>
      <c r="P269" s="3">
        <v>3</v>
      </c>
      <c r="Q269" s="3">
        <v>3</v>
      </c>
      <c r="R269" s="3">
        <v>3</v>
      </c>
      <c r="S269" s="3">
        <v>2</v>
      </c>
      <c r="T269" s="3">
        <v>5</v>
      </c>
      <c r="U269" s="3">
        <v>5</v>
      </c>
      <c r="V269" t="s">
        <v>637</v>
      </c>
      <c r="W269" t="s">
        <v>642</v>
      </c>
      <c r="X269" t="s">
        <v>650</v>
      </c>
      <c r="Y269" t="s">
        <v>652</v>
      </c>
      <c r="Z269" t="s">
        <v>654</v>
      </c>
      <c r="AA269" s="3">
        <v>8</v>
      </c>
      <c r="AB269">
        <v>0</v>
      </c>
      <c r="AC269" s="3">
        <v>5</v>
      </c>
      <c r="AD269" t="s">
        <v>657</v>
      </c>
      <c r="AE269" s="3">
        <f t="shared" si="14"/>
        <v>1.25</v>
      </c>
      <c r="AF269" s="3">
        <f>AVERAGE(E269:U269)</f>
        <v>3.1875</v>
      </c>
      <c r="AG269" s="3">
        <f>AVERAGEIF($C:$C, C269, $AE:$AE)</f>
        <v>1.2450000000000001</v>
      </c>
      <c r="AH269" s="3">
        <f t="shared" si="13"/>
        <v>1.9424999999999999</v>
      </c>
      <c r="AI269" s="3">
        <f>IF(Table1[[#This Row],[Attendance Bracket]]="&gt;75%", 1, IF(Table1[[#This Row],[Attendance Bracket]]="50-75%", 0.8, 0.6))</f>
        <v>0.6</v>
      </c>
      <c r="AJ269" s="3">
        <v>1</v>
      </c>
      <c r="AK269" s="3" t="s">
        <v>684</v>
      </c>
      <c r="AL269" s="3">
        <f>VLOOKUP(C269,Table14[[#All],[Department]:[Publication_count]], 2, FALSE)</f>
        <v>3</v>
      </c>
      <c r="AM269" s="3">
        <v>4.6666666670000003</v>
      </c>
      <c r="AN269" s="3">
        <v>1.2179487179999999</v>
      </c>
    </row>
    <row r="270" spans="1:40" x14ac:dyDescent="0.25">
      <c r="A270" t="s">
        <v>295</v>
      </c>
      <c r="B270" t="s">
        <v>595</v>
      </c>
      <c r="C270" t="s">
        <v>628</v>
      </c>
      <c r="D270" s="5" t="s">
        <v>659</v>
      </c>
      <c r="E270" s="3">
        <v>2</v>
      </c>
      <c r="F270" s="3">
        <v>1</v>
      </c>
      <c r="G270" s="3">
        <v>5</v>
      </c>
      <c r="H270" s="3">
        <v>2</v>
      </c>
      <c r="I270" s="3">
        <v>4</v>
      </c>
      <c r="J270" s="3">
        <v>3</v>
      </c>
      <c r="K270" t="s">
        <v>631</v>
      </c>
      <c r="L270" s="3">
        <f t="shared" si="12"/>
        <v>4</v>
      </c>
      <c r="M270" s="3">
        <v>4</v>
      </c>
      <c r="N270" s="3">
        <v>2</v>
      </c>
      <c r="O270" s="3">
        <v>5</v>
      </c>
      <c r="P270" s="3">
        <v>3</v>
      </c>
      <c r="Q270" s="3">
        <v>4</v>
      </c>
      <c r="R270" s="3">
        <v>3</v>
      </c>
      <c r="S270" s="3">
        <v>4</v>
      </c>
      <c r="T270" s="3">
        <v>1</v>
      </c>
      <c r="U270" s="3">
        <v>5</v>
      </c>
      <c r="V270" t="s">
        <v>636</v>
      </c>
      <c r="W270" t="s">
        <v>644</v>
      </c>
      <c r="X270" t="s">
        <v>646</v>
      </c>
      <c r="Y270" t="s">
        <v>651</v>
      </c>
      <c r="Z270" t="s">
        <v>654</v>
      </c>
      <c r="AA270" s="3">
        <v>10</v>
      </c>
      <c r="AB270">
        <v>0</v>
      </c>
      <c r="AC270" s="3">
        <v>4</v>
      </c>
      <c r="AD270" t="s">
        <v>657</v>
      </c>
      <c r="AE270" s="3">
        <f t="shared" si="14"/>
        <v>1.25</v>
      </c>
      <c r="AF270" s="3">
        <f>AVERAGE(E270:U270)</f>
        <v>3.25</v>
      </c>
      <c r="AG270" s="3">
        <f>AVERAGEIF($C:$C, C270, $AE:$AE)</f>
        <v>1.25</v>
      </c>
      <c r="AH270" s="3">
        <f t="shared" si="13"/>
        <v>2</v>
      </c>
      <c r="AI270" s="3">
        <f>IF(Table1[[#This Row],[Attendance Bracket]]="&gt;75%", 1, IF(Table1[[#This Row],[Attendance Bracket]]="50-75%", 0.8, 0.6))</f>
        <v>0.8</v>
      </c>
      <c r="AJ270" s="3">
        <v>2</v>
      </c>
      <c r="AK270" s="3" t="s">
        <v>684</v>
      </c>
      <c r="AL270" s="3">
        <f>VLOOKUP(C270,Table14[[#All],[Department]:[Publication_count]], 2, FALSE)</f>
        <v>12</v>
      </c>
      <c r="AM270" s="3">
        <v>16.25</v>
      </c>
      <c r="AN270" s="3">
        <v>3</v>
      </c>
    </row>
    <row r="271" spans="1:40" x14ac:dyDescent="0.25">
      <c r="A271" t="s">
        <v>296</v>
      </c>
      <c r="B271" t="s">
        <v>596</v>
      </c>
      <c r="C271" t="s">
        <v>628</v>
      </c>
      <c r="D271" s="5" t="s">
        <v>659</v>
      </c>
      <c r="E271" s="3">
        <v>5</v>
      </c>
      <c r="F271" s="3">
        <v>2</v>
      </c>
      <c r="G271" s="3">
        <v>1</v>
      </c>
      <c r="H271" s="3">
        <v>5</v>
      </c>
      <c r="I271" s="3">
        <v>4</v>
      </c>
      <c r="J271" s="3">
        <v>4</v>
      </c>
      <c r="K271" t="s">
        <v>631</v>
      </c>
      <c r="L271" s="3">
        <f t="shared" si="12"/>
        <v>4</v>
      </c>
      <c r="M271" s="3">
        <v>4</v>
      </c>
      <c r="N271" s="3">
        <v>4</v>
      </c>
      <c r="O271" s="3">
        <v>4</v>
      </c>
      <c r="P271" s="3">
        <v>4</v>
      </c>
      <c r="Q271" s="3">
        <v>4</v>
      </c>
      <c r="R271" s="3">
        <v>2</v>
      </c>
      <c r="S271" s="3">
        <v>3</v>
      </c>
      <c r="T271" s="3">
        <v>1</v>
      </c>
      <c r="U271" s="3">
        <v>5</v>
      </c>
      <c r="V271" t="s">
        <v>636</v>
      </c>
      <c r="W271" t="s">
        <v>642</v>
      </c>
      <c r="X271" t="s">
        <v>647</v>
      </c>
      <c r="Y271" t="s">
        <v>653</v>
      </c>
      <c r="Z271" t="s">
        <v>654</v>
      </c>
      <c r="AA271" s="3">
        <v>16</v>
      </c>
      <c r="AB271">
        <v>0</v>
      </c>
      <c r="AC271" s="3">
        <v>5</v>
      </c>
      <c r="AD271" t="s">
        <v>657</v>
      </c>
      <c r="AE271" s="3">
        <f t="shared" si="14"/>
        <v>1.25</v>
      </c>
      <c r="AF271" s="3">
        <f>AVERAGE(E271:U271)</f>
        <v>3.5</v>
      </c>
      <c r="AG271" s="3">
        <f>AVERAGEIF($C:$C, C271, $AE:$AE)</f>
        <v>1.25</v>
      </c>
      <c r="AH271" s="3">
        <f t="shared" si="13"/>
        <v>2.25</v>
      </c>
      <c r="AI271" s="3">
        <f>IF(Table1[[#This Row],[Attendance Bracket]]="&gt;75%", 1, IF(Table1[[#This Row],[Attendance Bracket]]="50-75%", 0.8, 0.6))</f>
        <v>1</v>
      </c>
      <c r="AJ271" s="3">
        <v>1</v>
      </c>
      <c r="AK271" s="3" t="s">
        <v>684</v>
      </c>
      <c r="AL271" s="3">
        <f>VLOOKUP(C271,Table14[[#All],[Department]:[Publication_count]], 2, FALSE)</f>
        <v>12</v>
      </c>
      <c r="AM271" s="3">
        <v>16.25</v>
      </c>
      <c r="AN271" s="3">
        <v>3.5</v>
      </c>
    </row>
    <row r="272" spans="1:40" x14ac:dyDescent="0.25">
      <c r="A272" t="s">
        <v>297</v>
      </c>
      <c r="B272" t="s">
        <v>597</v>
      </c>
      <c r="C272" t="s">
        <v>627</v>
      </c>
      <c r="D272" s="5" t="s">
        <v>660</v>
      </c>
      <c r="E272" s="3">
        <v>4</v>
      </c>
      <c r="F272" s="3">
        <v>1</v>
      </c>
      <c r="G272" s="3">
        <v>4</v>
      </c>
      <c r="H272" s="3">
        <v>3</v>
      </c>
      <c r="I272" s="3">
        <v>5</v>
      </c>
      <c r="J272" s="3">
        <v>5</v>
      </c>
      <c r="K272" t="s">
        <v>633</v>
      </c>
      <c r="L272" s="3">
        <f t="shared" si="12"/>
        <v>2</v>
      </c>
      <c r="M272" s="3">
        <v>2</v>
      </c>
      <c r="N272" s="3">
        <v>2</v>
      </c>
      <c r="O272" s="3">
        <v>5</v>
      </c>
      <c r="P272" s="3">
        <v>1</v>
      </c>
      <c r="Q272" s="3">
        <v>1</v>
      </c>
      <c r="R272" s="3">
        <v>1</v>
      </c>
      <c r="S272" s="3">
        <v>3</v>
      </c>
      <c r="T272" s="3">
        <v>5</v>
      </c>
      <c r="U272" s="3">
        <v>4</v>
      </c>
      <c r="V272" t="s">
        <v>638</v>
      </c>
      <c r="W272" t="s">
        <v>644</v>
      </c>
      <c r="X272" t="s">
        <v>649</v>
      </c>
      <c r="Y272" t="s">
        <v>652</v>
      </c>
      <c r="Z272" t="s">
        <v>655</v>
      </c>
      <c r="AA272" s="3">
        <v>7</v>
      </c>
      <c r="AB272">
        <v>1</v>
      </c>
      <c r="AC272" s="3">
        <v>2</v>
      </c>
      <c r="AD272" t="s">
        <v>657</v>
      </c>
      <c r="AE272" s="3">
        <f t="shared" si="14"/>
        <v>1.25</v>
      </c>
      <c r="AF272" s="3">
        <f>AVERAGE(E272:U272)</f>
        <v>3</v>
      </c>
      <c r="AG272" s="3">
        <f>AVERAGEIF($C:$C, C272, $AE:$AE)</f>
        <v>1.25</v>
      </c>
      <c r="AH272" s="3">
        <f t="shared" si="13"/>
        <v>1.75</v>
      </c>
      <c r="AI272" s="3">
        <f>IF(Table1[[#This Row],[Attendance Bracket]]="&gt;75%", 1, IF(Table1[[#This Row],[Attendance Bracket]]="50-75%", 0.8, 0.6))</f>
        <v>0.6</v>
      </c>
      <c r="AJ272" s="3">
        <v>2</v>
      </c>
      <c r="AK272" s="3" t="s">
        <v>684</v>
      </c>
      <c r="AL272" s="3">
        <f>VLOOKUP(C272,Table14[[#All],[Department]:[Publication_count]], 2, FALSE)</f>
        <v>5</v>
      </c>
      <c r="AM272" s="3">
        <v>6.3333333329999997</v>
      </c>
      <c r="AN272" s="3">
        <v>1.474358974</v>
      </c>
    </row>
    <row r="273" spans="1:40" x14ac:dyDescent="0.25">
      <c r="A273" t="s">
        <v>298</v>
      </c>
      <c r="B273" t="s">
        <v>598</v>
      </c>
      <c r="C273" t="s">
        <v>627</v>
      </c>
      <c r="D273" s="5" t="s">
        <v>660</v>
      </c>
      <c r="E273" s="3">
        <v>5</v>
      </c>
      <c r="F273" s="3">
        <v>2</v>
      </c>
      <c r="G273" s="3">
        <v>4</v>
      </c>
      <c r="H273" s="3">
        <v>2</v>
      </c>
      <c r="I273" s="3">
        <v>5</v>
      </c>
      <c r="J273" s="3">
        <v>1</v>
      </c>
      <c r="K273" t="s">
        <v>633</v>
      </c>
      <c r="L273" s="3">
        <f t="shared" si="12"/>
        <v>2</v>
      </c>
      <c r="M273" s="3">
        <v>1</v>
      </c>
      <c r="N273" s="3">
        <v>3</v>
      </c>
      <c r="O273" s="3">
        <v>4</v>
      </c>
      <c r="P273" s="3">
        <v>1</v>
      </c>
      <c r="Q273" s="3">
        <v>2</v>
      </c>
      <c r="R273" s="3">
        <v>1</v>
      </c>
      <c r="S273" s="3">
        <v>3</v>
      </c>
      <c r="T273" s="3">
        <v>1</v>
      </c>
      <c r="U273" s="3">
        <v>5</v>
      </c>
      <c r="V273" t="s">
        <v>639</v>
      </c>
      <c r="W273" t="s">
        <v>643</v>
      </c>
      <c r="X273" t="s">
        <v>650</v>
      </c>
      <c r="Y273" t="s">
        <v>653</v>
      </c>
      <c r="Z273" t="s">
        <v>654</v>
      </c>
      <c r="AA273" s="3">
        <v>6</v>
      </c>
      <c r="AB273">
        <v>1</v>
      </c>
      <c r="AC273" s="3">
        <v>4</v>
      </c>
      <c r="AD273" t="s">
        <v>657</v>
      </c>
      <c r="AE273" s="3">
        <f t="shared" si="14"/>
        <v>1.25</v>
      </c>
      <c r="AF273" s="3">
        <f>AVERAGE(E273:U273)</f>
        <v>2.625</v>
      </c>
      <c r="AG273" s="3">
        <f>AVERAGEIF($C:$C, C273, $AE:$AE)</f>
        <v>1.25</v>
      </c>
      <c r="AH273" s="3">
        <f t="shared" si="13"/>
        <v>1.375</v>
      </c>
      <c r="AI273" s="3">
        <f>IF(Table1[[#This Row],[Attendance Bracket]]="&gt;75%", 1, IF(Table1[[#This Row],[Attendance Bracket]]="50-75%", 0.8, 0.6))</f>
        <v>1</v>
      </c>
      <c r="AJ273" s="3">
        <v>2</v>
      </c>
      <c r="AK273" s="3" t="s">
        <v>684</v>
      </c>
      <c r="AL273" s="3">
        <f>VLOOKUP(C273,Table14[[#All],[Department]:[Publication_count]], 2, FALSE)</f>
        <v>5</v>
      </c>
      <c r="AM273" s="3">
        <v>6.3333333329999997</v>
      </c>
      <c r="AN273" s="3">
        <v>1.974358974</v>
      </c>
    </row>
    <row r="274" spans="1:40" x14ac:dyDescent="0.25">
      <c r="A274" t="s">
        <v>299</v>
      </c>
      <c r="B274" t="s">
        <v>599</v>
      </c>
      <c r="C274" t="s">
        <v>629</v>
      </c>
      <c r="D274" s="5" t="s">
        <v>660</v>
      </c>
      <c r="E274" s="3">
        <v>4</v>
      </c>
      <c r="F274" s="3">
        <v>5</v>
      </c>
      <c r="G274" s="3">
        <v>3</v>
      </c>
      <c r="H274" s="3">
        <v>4</v>
      </c>
      <c r="I274" s="3">
        <v>1</v>
      </c>
      <c r="J274" s="3">
        <v>1</v>
      </c>
      <c r="K274" t="s">
        <v>634</v>
      </c>
      <c r="L274" s="3">
        <f t="shared" si="12"/>
        <v>3</v>
      </c>
      <c r="M274" s="3">
        <v>2</v>
      </c>
      <c r="N274" s="3">
        <v>4</v>
      </c>
      <c r="O274" s="3">
        <v>2</v>
      </c>
      <c r="P274" s="3">
        <v>4</v>
      </c>
      <c r="Q274" s="3">
        <v>3</v>
      </c>
      <c r="R274" s="3">
        <v>2</v>
      </c>
      <c r="S274" s="3">
        <v>2</v>
      </c>
      <c r="T274" s="3">
        <v>4</v>
      </c>
      <c r="U274" s="3">
        <v>1</v>
      </c>
      <c r="V274" t="s">
        <v>637</v>
      </c>
      <c r="W274" t="s">
        <v>644</v>
      </c>
      <c r="X274" t="s">
        <v>648</v>
      </c>
      <c r="Y274" t="s">
        <v>652</v>
      </c>
      <c r="Z274" t="s">
        <v>655</v>
      </c>
      <c r="AA274" s="3">
        <v>7</v>
      </c>
      <c r="AB274">
        <v>1</v>
      </c>
      <c r="AC274" s="3">
        <v>3</v>
      </c>
      <c r="AD274" t="s">
        <v>657</v>
      </c>
      <c r="AE274" s="3">
        <f t="shared" si="14"/>
        <v>1.25</v>
      </c>
      <c r="AF274" s="3">
        <f>AVERAGE(E274:U274)</f>
        <v>2.8125</v>
      </c>
      <c r="AG274" s="3">
        <f>AVERAGEIF($C:$C, C274, $AE:$AE)</f>
        <v>1.2450000000000001</v>
      </c>
      <c r="AH274" s="3">
        <f t="shared" si="13"/>
        <v>1.5674999999999999</v>
      </c>
      <c r="AI274" s="3">
        <f>IF(Table1[[#This Row],[Attendance Bracket]]="&gt;75%", 1, IF(Table1[[#This Row],[Attendance Bracket]]="50-75%", 0.8, 0.6))</f>
        <v>0.6</v>
      </c>
      <c r="AJ274" s="3">
        <v>2</v>
      </c>
      <c r="AK274" s="3" t="s">
        <v>684</v>
      </c>
      <c r="AL274" s="3">
        <f>VLOOKUP(C274,Table14[[#All],[Department]:[Publication_count]], 2, FALSE)</f>
        <v>3</v>
      </c>
      <c r="AM274" s="3">
        <v>4.6666666670000003</v>
      </c>
      <c r="AN274" s="3">
        <v>3.2179487180000002</v>
      </c>
    </row>
    <row r="275" spans="1:40" x14ac:dyDescent="0.25">
      <c r="A275" t="s">
        <v>300</v>
      </c>
      <c r="B275" t="s">
        <v>600</v>
      </c>
      <c r="C275" t="s">
        <v>627</v>
      </c>
      <c r="D275" s="5" t="s">
        <v>660</v>
      </c>
      <c r="E275" s="3">
        <v>1</v>
      </c>
      <c r="F275" s="3">
        <v>3</v>
      </c>
      <c r="G275" s="3">
        <v>3</v>
      </c>
      <c r="H275" s="3">
        <v>4</v>
      </c>
      <c r="I275" s="3">
        <v>5</v>
      </c>
      <c r="J275" s="3">
        <v>2</v>
      </c>
      <c r="K275" t="s">
        <v>633</v>
      </c>
      <c r="L275" s="3">
        <f t="shared" si="12"/>
        <v>2</v>
      </c>
      <c r="M275" s="3">
        <v>3</v>
      </c>
      <c r="N275" s="3">
        <v>3</v>
      </c>
      <c r="O275" s="3">
        <v>4</v>
      </c>
      <c r="P275" s="3">
        <v>5</v>
      </c>
      <c r="Q275" s="3">
        <v>4</v>
      </c>
      <c r="R275" s="3">
        <v>3</v>
      </c>
      <c r="S275" s="3">
        <v>3</v>
      </c>
      <c r="T275" s="3">
        <v>3</v>
      </c>
      <c r="U275" s="3">
        <v>3</v>
      </c>
      <c r="V275" t="s">
        <v>636</v>
      </c>
      <c r="W275" t="s">
        <v>641</v>
      </c>
      <c r="X275" t="s">
        <v>649</v>
      </c>
      <c r="Y275" t="s">
        <v>651</v>
      </c>
      <c r="Z275" t="s">
        <v>655</v>
      </c>
      <c r="AA275" s="3">
        <v>10</v>
      </c>
      <c r="AB275">
        <v>0</v>
      </c>
      <c r="AC275" s="3">
        <v>3</v>
      </c>
      <c r="AD275" t="s">
        <v>657</v>
      </c>
      <c r="AE275" s="3">
        <f t="shared" si="14"/>
        <v>1.25</v>
      </c>
      <c r="AF275" s="3">
        <f>AVERAGE(E275:U275)</f>
        <v>3.1875</v>
      </c>
      <c r="AG275" s="3">
        <f>AVERAGEIF($C:$C, C275, $AE:$AE)</f>
        <v>1.25</v>
      </c>
      <c r="AH275" s="3">
        <f t="shared" si="13"/>
        <v>1.9375</v>
      </c>
      <c r="AI275" s="3">
        <f>IF(Table1[[#This Row],[Attendance Bracket]]="&gt;75%", 1, IF(Table1[[#This Row],[Attendance Bracket]]="50-75%", 0.8, 0.6))</f>
        <v>0.8</v>
      </c>
      <c r="AJ275" s="3">
        <v>2</v>
      </c>
      <c r="AK275" s="3" t="s">
        <v>684</v>
      </c>
      <c r="AL275" s="3">
        <f>VLOOKUP(C275,Table14[[#All],[Department]:[Publication_count]], 2, FALSE)</f>
        <v>5</v>
      </c>
      <c r="AM275" s="3">
        <v>6.3333333329999997</v>
      </c>
      <c r="AN275" s="3">
        <v>2.4743589739999998</v>
      </c>
    </row>
    <row r="276" spans="1:40" x14ac:dyDescent="0.25">
      <c r="A276" t="s">
        <v>301</v>
      </c>
      <c r="B276" t="s">
        <v>601</v>
      </c>
      <c r="C276" t="s">
        <v>629</v>
      </c>
      <c r="D276" s="5" t="s">
        <v>659</v>
      </c>
      <c r="E276" s="3">
        <v>3</v>
      </c>
      <c r="F276" s="3">
        <v>1</v>
      </c>
      <c r="G276" s="3">
        <v>1</v>
      </c>
      <c r="H276" s="3">
        <v>3</v>
      </c>
      <c r="I276" s="3">
        <v>4</v>
      </c>
      <c r="J276" s="3">
        <v>1</v>
      </c>
      <c r="K276" t="s">
        <v>635</v>
      </c>
      <c r="L276" s="3">
        <f t="shared" si="12"/>
        <v>5</v>
      </c>
      <c r="M276" s="3">
        <v>2</v>
      </c>
      <c r="N276" s="3">
        <v>4</v>
      </c>
      <c r="O276" s="3">
        <v>4</v>
      </c>
      <c r="P276" s="3">
        <v>3</v>
      </c>
      <c r="Q276" s="3">
        <v>4</v>
      </c>
      <c r="R276" s="3">
        <v>3</v>
      </c>
      <c r="S276" s="3">
        <v>1</v>
      </c>
      <c r="T276" s="3">
        <v>5</v>
      </c>
      <c r="U276" s="3">
        <v>5</v>
      </c>
      <c r="V276" t="s">
        <v>636</v>
      </c>
      <c r="W276" t="s">
        <v>644</v>
      </c>
      <c r="X276" t="s">
        <v>646</v>
      </c>
      <c r="Y276" t="s">
        <v>651</v>
      </c>
      <c r="Z276" t="s">
        <v>656</v>
      </c>
      <c r="AA276" s="3">
        <v>14</v>
      </c>
      <c r="AB276">
        <v>0</v>
      </c>
      <c r="AC276" s="3">
        <v>1</v>
      </c>
      <c r="AD276" t="s">
        <v>657</v>
      </c>
      <c r="AE276" s="3">
        <f t="shared" si="14"/>
        <v>1.25</v>
      </c>
      <c r="AF276" s="3">
        <f>AVERAGE(E276:U276)</f>
        <v>3.0625</v>
      </c>
      <c r="AG276" s="3">
        <f>AVERAGEIF($C:$C, C276, $AE:$AE)</f>
        <v>1.2450000000000001</v>
      </c>
      <c r="AH276" s="3">
        <f t="shared" si="13"/>
        <v>1.8174999999999999</v>
      </c>
      <c r="AI276" s="3">
        <f>IF(Table1[[#This Row],[Attendance Bracket]]="&gt;75%", 1, IF(Table1[[#This Row],[Attendance Bracket]]="50-75%", 0.8, 0.6))</f>
        <v>0.8</v>
      </c>
      <c r="AJ276" s="3">
        <v>2</v>
      </c>
      <c r="AK276" s="3" t="s">
        <v>684</v>
      </c>
      <c r="AL276" s="3">
        <f>VLOOKUP(C276,Table14[[#All],[Department]:[Publication_count]], 2, FALSE)</f>
        <v>3</v>
      </c>
      <c r="AM276" s="3">
        <v>4.6666666670000003</v>
      </c>
      <c r="AN276" s="3">
        <v>1.2179487179999999</v>
      </c>
    </row>
    <row r="277" spans="1:40" x14ac:dyDescent="0.25">
      <c r="A277" t="s">
        <v>302</v>
      </c>
      <c r="B277" t="s">
        <v>602</v>
      </c>
      <c r="C277" t="s">
        <v>627</v>
      </c>
      <c r="D277" s="5" t="s">
        <v>659</v>
      </c>
      <c r="E277" s="3">
        <v>5</v>
      </c>
      <c r="F277" s="3">
        <v>3</v>
      </c>
      <c r="G277" s="3">
        <v>4</v>
      </c>
      <c r="H277" s="3">
        <v>1</v>
      </c>
      <c r="I277" s="3">
        <v>5</v>
      </c>
      <c r="J277" s="3">
        <v>3</v>
      </c>
      <c r="K277" t="s">
        <v>633</v>
      </c>
      <c r="L277" s="3">
        <f t="shared" si="12"/>
        <v>2</v>
      </c>
      <c r="M277" s="3">
        <v>5</v>
      </c>
      <c r="N277" s="3">
        <v>4</v>
      </c>
      <c r="O277" s="3">
        <v>5</v>
      </c>
      <c r="P277" s="3">
        <v>2</v>
      </c>
      <c r="Q277" s="3">
        <v>1</v>
      </c>
      <c r="R277" s="3">
        <v>1</v>
      </c>
      <c r="S277" s="3">
        <v>2</v>
      </c>
      <c r="T277" s="3">
        <v>3</v>
      </c>
      <c r="U277" s="3">
        <v>3</v>
      </c>
      <c r="V277" t="s">
        <v>640</v>
      </c>
      <c r="W277" t="s">
        <v>645</v>
      </c>
      <c r="X277" t="s">
        <v>648</v>
      </c>
      <c r="Y277" t="s">
        <v>652</v>
      </c>
      <c r="Z277" t="s">
        <v>655</v>
      </c>
      <c r="AA277" s="3">
        <v>17</v>
      </c>
      <c r="AB277">
        <v>1</v>
      </c>
      <c r="AC277" s="3">
        <v>5</v>
      </c>
      <c r="AD277" t="s">
        <v>657</v>
      </c>
      <c r="AE277" s="3">
        <f t="shared" si="14"/>
        <v>1.25</v>
      </c>
      <c r="AF277" s="3">
        <f>AVERAGE(E277:U277)</f>
        <v>3.0625</v>
      </c>
      <c r="AG277" s="3">
        <f>AVERAGEIF($C:$C, C277, $AE:$AE)</f>
        <v>1.25</v>
      </c>
      <c r="AH277" s="3">
        <f t="shared" si="13"/>
        <v>1.8125</v>
      </c>
      <c r="AI277" s="3">
        <f>IF(Table1[[#This Row],[Attendance Bracket]]="&gt;75%", 1, IF(Table1[[#This Row],[Attendance Bracket]]="50-75%", 0.8, 0.6))</f>
        <v>0.6</v>
      </c>
      <c r="AJ277" s="3">
        <v>3</v>
      </c>
      <c r="AK277" s="3" t="s">
        <v>634</v>
      </c>
      <c r="AL277" s="3">
        <f>VLOOKUP(C277,Table14[[#All],[Department]:[Publication_count]], 2, FALSE)</f>
        <v>5</v>
      </c>
      <c r="AM277" s="3">
        <v>6.3333333329999997</v>
      </c>
      <c r="AN277" s="3">
        <v>2.4743589739999998</v>
      </c>
    </row>
    <row r="278" spans="1:40" x14ac:dyDescent="0.25">
      <c r="A278" t="s">
        <v>303</v>
      </c>
      <c r="B278" t="s">
        <v>603</v>
      </c>
      <c r="C278" t="s">
        <v>628</v>
      </c>
      <c r="D278" s="5" t="s">
        <v>660</v>
      </c>
      <c r="E278" s="3">
        <v>1</v>
      </c>
      <c r="F278" s="3">
        <v>4</v>
      </c>
      <c r="G278" s="3">
        <v>2</v>
      </c>
      <c r="H278" s="3">
        <v>2</v>
      </c>
      <c r="I278" s="3">
        <v>5</v>
      </c>
      <c r="J278" s="3">
        <v>4</v>
      </c>
      <c r="K278" t="s">
        <v>634</v>
      </c>
      <c r="L278" s="3">
        <f t="shared" si="12"/>
        <v>3</v>
      </c>
      <c r="M278" s="3">
        <v>5</v>
      </c>
      <c r="N278" s="3">
        <v>4</v>
      </c>
      <c r="O278" s="3">
        <v>1</v>
      </c>
      <c r="P278" s="3">
        <v>5</v>
      </c>
      <c r="Q278" s="3">
        <v>4</v>
      </c>
      <c r="R278" s="3">
        <v>1</v>
      </c>
      <c r="S278" s="3">
        <v>4</v>
      </c>
      <c r="T278" s="3">
        <v>1</v>
      </c>
      <c r="U278" s="3">
        <v>3</v>
      </c>
      <c r="V278" t="s">
        <v>640</v>
      </c>
      <c r="W278" t="s">
        <v>642</v>
      </c>
      <c r="X278" t="s">
        <v>647</v>
      </c>
      <c r="Y278" t="s">
        <v>651</v>
      </c>
      <c r="Z278" t="s">
        <v>656</v>
      </c>
      <c r="AA278" s="3">
        <v>18</v>
      </c>
      <c r="AB278">
        <v>1</v>
      </c>
      <c r="AC278" s="3">
        <v>1</v>
      </c>
      <c r="AD278" t="s">
        <v>657</v>
      </c>
      <c r="AE278" s="3">
        <f t="shared" si="14"/>
        <v>1.25</v>
      </c>
      <c r="AF278" s="3">
        <f>AVERAGE(E278:U278)</f>
        <v>3.0625</v>
      </c>
      <c r="AG278" s="3">
        <f>AVERAGEIF($C:$C, C278, $AE:$AE)</f>
        <v>1.25</v>
      </c>
      <c r="AH278" s="3">
        <f t="shared" si="13"/>
        <v>1.8125</v>
      </c>
      <c r="AI278" s="3">
        <f>IF(Table1[[#This Row],[Attendance Bracket]]="&gt;75%", 1, IF(Table1[[#This Row],[Attendance Bracket]]="50-75%", 0.8, 0.6))</f>
        <v>0.8</v>
      </c>
      <c r="AJ278" s="3">
        <v>1</v>
      </c>
      <c r="AK278" s="3" t="s">
        <v>684</v>
      </c>
      <c r="AL278" s="3">
        <f>VLOOKUP(C278,Table14[[#All],[Department]:[Publication_count]], 2, FALSE)</f>
        <v>12</v>
      </c>
      <c r="AM278" s="3">
        <v>16.25</v>
      </c>
      <c r="AN278" s="3">
        <v>4.5</v>
      </c>
    </row>
    <row r="279" spans="1:40" x14ac:dyDescent="0.25">
      <c r="A279" t="s">
        <v>304</v>
      </c>
      <c r="B279" t="s">
        <v>604</v>
      </c>
      <c r="C279" t="s">
        <v>629</v>
      </c>
      <c r="D279" s="5" t="s">
        <v>659</v>
      </c>
      <c r="E279" s="3">
        <v>1</v>
      </c>
      <c r="F279" s="3">
        <v>3</v>
      </c>
      <c r="G279" s="3">
        <v>5</v>
      </c>
      <c r="H279" s="3">
        <v>2</v>
      </c>
      <c r="I279" s="3">
        <v>1</v>
      </c>
      <c r="J279" s="3">
        <v>4</v>
      </c>
      <c r="K279" t="s">
        <v>632</v>
      </c>
      <c r="L279" s="3">
        <f t="shared" si="12"/>
        <v>1</v>
      </c>
      <c r="M279" s="3">
        <v>5</v>
      </c>
      <c r="N279" s="3">
        <v>1</v>
      </c>
      <c r="O279" s="3">
        <v>2</v>
      </c>
      <c r="P279" s="3">
        <v>4</v>
      </c>
      <c r="Q279" s="3">
        <v>2</v>
      </c>
      <c r="R279" s="3">
        <v>4</v>
      </c>
      <c r="S279" s="3">
        <v>4</v>
      </c>
      <c r="T279" s="3">
        <v>5</v>
      </c>
      <c r="U279" s="3">
        <v>2</v>
      </c>
      <c r="V279" t="s">
        <v>637</v>
      </c>
      <c r="W279" t="s">
        <v>642</v>
      </c>
      <c r="X279" t="s">
        <v>647</v>
      </c>
      <c r="Y279" t="s">
        <v>652</v>
      </c>
      <c r="Z279" t="s">
        <v>654</v>
      </c>
      <c r="AA279" s="3">
        <v>8</v>
      </c>
      <c r="AB279">
        <v>1</v>
      </c>
      <c r="AC279" s="3">
        <v>1</v>
      </c>
      <c r="AD279" t="s">
        <v>657</v>
      </c>
      <c r="AE279" s="3">
        <f t="shared" si="14"/>
        <v>1.25</v>
      </c>
      <c r="AF279" s="3">
        <f>AVERAGE(E279:U279)</f>
        <v>2.875</v>
      </c>
      <c r="AG279" s="3">
        <f>AVERAGEIF($C:$C, C279, $AE:$AE)</f>
        <v>1.2450000000000001</v>
      </c>
      <c r="AH279" s="3">
        <f t="shared" si="13"/>
        <v>1.63</v>
      </c>
      <c r="AI279" s="3">
        <f>IF(Table1[[#This Row],[Attendance Bracket]]="&gt;75%", 1, IF(Table1[[#This Row],[Attendance Bracket]]="50-75%", 0.8, 0.6))</f>
        <v>0.6</v>
      </c>
      <c r="AJ279" s="3">
        <v>1</v>
      </c>
      <c r="AK279" s="3" t="s">
        <v>684</v>
      </c>
      <c r="AL279" s="3">
        <f>VLOOKUP(C279,Table14[[#All],[Department]:[Publication_count]], 2, FALSE)</f>
        <v>3</v>
      </c>
      <c r="AM279" s="3">
        <v>4.6666666670000003</v>
      </c>
      <c r="AN279" s="3">
        <v>2.2179487180000002</v>
      </c>
    </row>
    <row r="280" spans="1:40" x14ac:dyDescent="0.25">
      <c r="A280" t="s">
        <v>305</v>
      </c>
      <c r="B280" t="s">
        <v>605</v>
      </c>
      <c r="C280" t="s">
        <v>627</v>
      </c>
      <c r="D280" s="5" t="s">
        <v>630</v>
      </c>
      <c r="E280" s="3">
        <v>3</v>
      </c>
      <c r="F280" s="3">
        <v>5</v>
      </c>
      <c r="G280" s="3">
        <v>4</v>
      </c>
      <c r="H280" s="3">
        <v>1</v>
      </c>
      <c r="I280" s="3">
        <v>2</v>
      </c>
      <c r="J280" s="3">
        <v>4</v>
      </c>
      <c r="K280" t="s">
        <v>631</v>
      </c>
      <c r="L280" s="3">
        <f t="shared" si="12"/>
        <v>4</v>
      </c>
      <c r="M280" s="3">
        <v>5</v>
      </c>
      <c r="N280" s="3">
        <v>2</v>
      </c>
      <c r="O280" s="3">
        <v>4</v>
      </c>
      <c r="P280" s="3">
        <v>3</v>
      </c>
      <c r="Q280" s="3">
        <v>1</v>
      </c>
      <c r="R280" s="3">
        <v>4</v>
      </c>
      <c r="S280" s="3">
        <v>3</v>
      </c>
      <c r="T280" s="3">
        <v>3</v>
      </c>
      <c r="U280" s="3">
        <v>3</v>
      </c>
      <c r="V280" t="s">
        <v>638</v>
      </c>
      <c r="W280" t="s">
        <v>641</v>
      </c>
      <c r="X280" t="s">
        <v>646</v>
      </c>
      <c r="Y280" t="s">
        <v>651</v>
      </c>
      <c r="Z280" t="s">
        <v>654</v>
      </c>
      <c r="AA280" s="3">
        <v>12</v>
      </c>
      <c r="AB280">
        <v>1</v>
      </c>
      <c r="AC280" s="3">
        <v>5</v>
      </c>
      <c r="AD280" t="s">
        <v>657</v>
      </c>
      <c r="AE280" s="3">
        <f t="shared" si="14"/>
        <v>1.25</v>
      </c>
      <c r="AF280" s="3">
        <f>AVERAGE(E280:U280)</f>
        <v>3.1875</v>
      </c>
      <c r="AG280" s="3">
        <f>AVERAGEIF($C:$C, C280, $AE:$AE)</f>
        <v>1.25</v>
      </c>
      <c r="AH280" s="3">
        <f t="shared" si="13"/>
        <v>1.9375</v>
      </c>
      <c r="AI280" s="3">
        <f>IF(Table1[[#This Row],[Attendance Bracket]]="&gt;75%", 1, IF(Table1[[#This Row],[Attendance Bracket]]="50-75%", 0.8, 0.6))</f>
        <v>0.8</v>
      </c>
      <c r="AJ280" s="3">
        <v>2</v>
      </c>
      <c r="AK280" s="3" t="s">
        <v>684</v>
      </c>
      <c r="AL280" s="3">
        <f>VLOOKUP(C280,Table14[[#All],[Department]:[Publication_count]], 2, FALSE)</f>
        <v>5</v>
      </c>
      <c r="AM280" s="3">
        <v>6.3333333329999997</v>
      </c>
      <c r="AN280" s="3">
        <v>3.4743589739999998</v>
      </c>
    </row>
    <row r="281" spans="1:40" x14ac:dyDescent="0.25">
      <c r="A281" t="s">
        <v>306</v>
      </c>
      <c r="B281" t="s">
        <v>606</v>
      </c>
      <c r="C281" t="s">
        <v>629</v>
      </c>
      <c r="D281" s="5" t="s">
        <v>659</v>
      </c>
      <c r="E281" s="3">
        <v>1</v>
      </c>
      <c r="F281" s="3">
        <v>5</v>
      </c>
      <c r="G281" s="3">
        <v>2</v>
      </c>
      <c r="H281" s="3">
        <v>2</v>
      </c>
      <c r="I281" s="3">
        <v>5</v>
      </c>
      <c r="J281" s="3">
        <v>5</v>
      </c>
      <c r="K281" t="s">
        <v>634</v>
      </c>
      <c r="L281" s="3">
        <f t="shared" si="12"/>
        <v>3</v>
      </c>
      <c r="M281" s="3">
        <v>3</v>
      </c>
      <c r="N281" s="3">
        <v>1</v>
      </c>
      <c r="O281" s="3">
        <v>1</v>
      </c>
      <c r="P281" s="3">
        <v>3</v>
      </c>
      <c r="Q281" s="3">
        <v>5</v>
      </c>
      <c r="R281" s="3">
        <v>2</v>
      </c>
      <c r="S281" s="3">
        <v>5</v>
      </c>
      <c r="T281" s="3">
        <v>5</v>
      </c>
      <c r="U281" s="3">
        <v>4</v>
      </c>
      <c r="V281" t="s">
        <v>639</v>
      </c>
      <c r="W281" t="s">
        <v>641</v>
      </c>
      <c r="X281" t="s">
        <v>647</v>
      </c>
      <c r="Y281" t="s">
        <v>652</v>
      </c>
      <c r="Z281" t="s">
        <v>656</v>
      </c>
      <c r="AA281" s="3">
        <v>13</v>
      </c>
      <c r="AB281">
        <v>1</v>
      </c>
      <c r="AC281" s="3">
        <v>1</v>
      </c>
      <c r="AD281" t="s">
        <v>657</v>
      </c>
      <c r="AE281" s="3">
        <f>IF(AE283, 1.25, 1)</f>
        <v>1.25</v>
      </c>
      <c r="AF281" s="3">
        <f>AVERAGE(E281:U281)</f>
        <v>3.25</v>
      </c>
      <c r="AG281" s="3">
        <f>AVERAGEIF($C:$C, C281, $AE:$AE)</f>
        <v>1.2450000000000001</v>
      </c>
      <c r="AH281" s="3">
        <f t="shared" si="13"/>
        <v>2.0049999999999999</v>
      </c>
      <c r="AI281" s="3">
        <f>IF(Table1[[#This Row],[Attendance Bracket]]="&gt;75%", 1, IF(Table1[[#This Row],[Attendance Bracket]]="50-75%", 0.8, 0.6))</f>
        <v>0.6</v>
      </c>
      <c r="AJ281" s="3">
        <v>2</v>
      </c>
      <c r="AK281" s="3" t="s">
        <v>684</v>
      </c>
      <c r="AL281" s="3">
        <f>VLOOKUP(C281,Table14[[#All],[Department]:[Publication_count]], 2, FALSE)</f>
        <v>3</v>
      </c>
      <c r="AM281" s="3">
        <v>4.6666666670000003</v>
      </c>
      <c r="AN281" s="3">
        <v>3.2179487180000002</v>
      </c>
    </row>
    <row r="282" spans="1:40" x14ac:dyDescent="0.25">
      <c r="A282" t="s">
        <v>307</v>
      </c>
      <c r="B282" t="s">
        <v>607</v>
      </c>
      <c r="C282" t="s">
        <v>627</v>
      </c>
      <c r="D282" s="5" t="s">
        <v>659</v>
      </c>
      <c r="E282" s="3">
        <v>5</v>
      </c>
      <c r="F282" s="3">
        <v>2</v>
      </c>
      <c r="G282" s="3">
        <v>3</v>
      </c>
      <c r="H282" s="3">
        <v>2</v>
      </c>
      <c r="I282" s="3">
        <v>1</v>
      </c>
      <c r="J282" s="3">
        <v>4</v>
      </c>
      <c r="K282" t="s">
        <v>632</v>
      </c>
      <c r="L282" s="3">
        <f t="shared" si="12"/>
        <v>1</v>
      </c>
      <c r="M282" s="3">
        <v>2</v>
      </c>
      <c r="N282" s="3">
        <v>4</v>
      </c>
      <c r="O282" s="3">
        <v>1</v>
      </c>
      <c r="P282" s="3">
        <v>5</v>
      </c>
      <c r="Q282" s="3">
        <v>2</v>
      </c>
      <c r="R282" s="3">
        <v>1</v>
      </c>
      <c r="S282" s="3">
        <v>4</v>
      </c>
      <c r="T282" s="3">
        <v>5</v>
      </c>
      <c r="U282" s="3">
        <v>5</v>
      </c>
      <c r="V282" t="s">
        <v>637</v>
      </c>
      <c r="W282" t="s">
        <v>644</v>
      </c>
      <c r="X282" t="s">
        <v>648</v>
      </c>
      <c r="Y282" t="s">
        <v>653</v>
      </c>
      <c r="Z282" t="s">
        <v>656</v>
      </c>
      <c r="AA282" s="3">
        <v>13</v>
      </c>
      <c r="AB282">
        <v>1</v>
      </c>
      <c r="AC282" s="3">
        <v>4</v>
      </c>
      <c r="AD282" t="s">
        <v>657</v>
      </c>
      <c r="AE282" s="3">
        <f>IF(AE284, 1.25, 1)</f>
        <v>1.25</v>
      </c>
      <c r="AF282" s="3">
        <f>AVERAGE(E282:U282)</f>
        <v>2.9375</v>
      </c>
      <c r="AG282" s="3">
        <f>AVERAGEIF($C:$C, C282, $AE:$AE)</f>
        <v>1.25</v>
      </c>
      <c r="AH282" s="3">
        <f t="shared" si="13"/>
        <v>1.6875</v>
      </c>
      <c r="AI282" s="3">
        <f>IF(Table1[[#This Row],[Attendance Bracket]]="&gt;75%", 1, IF(Table1[[#This Row],[Attendance Bracket]]="50-75%", 0.8, 0.6))</f>
        <v>1</v>
      </c>
      <c r="AJ282" s="3">
        <v>2</v>
      </c>
      <c r="AK282" s="3" t="s">
        <v>684</v>
      </c>
      <c r="AL282" s="3">
        <f>VLOOKUP(C282,Table14[[#All],[Department]:[Publication_count]], 2, FALSE)</f>
        <v>5</v>
      </c>
      <c r="AM282" s="3">
        <v>6.3333333329999997</v>
      </c>
      <c r="AN282" s="3">
        <v>1.974358974</v>
      </c>
    </row>
    <row r="283" spans="1:40" x14ac:dyDescent="0.25">
      <c r="A283" t="s">
        <v>308</v>
      </c>
      <c r="B283" t="s">
        <v>608</v>
      </c>
      <c r="C283" t="s">
        <v>627</v>
      </c>
      <c r="D283" s="5" t="s">
        <v>660</v>
      </c>
      <c r="E283" s="3">
        <v>2</v>
      </c>
      <c r="F283" s="3">
        <v>1</v>
      </c>
      <c r="G283" s="3">
        <v>1</v>
      </c>
      <c r="H283" s="3">
        <v>5</v>
      </c>
      <c r="I283" s="3">
        <v>2</v>
      </c>
      <c r="J283" s="3">
        <v>5</v>
      </c>
      <c r="K283" t="s">
        <v>633</v>
      </c>
      <c r="L283" s="3">
        <f t="shared" si="12"/>
        <v>2</v>
      </c>
      <c r="M283" s="3">
        <v>5</v>
      </c>
      <c r="N283" s="3">
        <v>1</v>
      </c>
      <c r="O283" s="3">
        <v>3</v>
      </c>
      <c r="P283" s="3">
        <v>5</v>
      </c>
      <c r="Q283" s="3">
        <v>1</v>
      </c>
      <c r="R283" s="3">
        <v>3</v>
      </c>
      <c r="S283" s="3">
        <v>5</v>
      </c>
      <c r="T283" s="3">
        <v>5</v>
      </c>
      <c r="U283" s="3">
        <v>5</v>
      </c>
      <c r="V283" t="s">
        <v>640</v>
      </c>
      <c r="W283" t="s">
        <v>644</v>
      </c>
      <c r="X283" t="s">
        <v>649</v>
      </c>
      <c r="Y283" t="s">
        <v>652</v>
      </c>
      <c r="Z283" t="s">
        <v>655</v>
      </c>
      <c r="AA283" s="4">
        <v>5</v>
      </c>
      <c r="AB283">
        <v>1</v>
      </c>
      <c r="AC283" s="3">
        <v>2</v>
      </c>
      <c r="AD283" t="s">
        <v>657</v>
      </c>
      <c r="AE283" s="3">
        <f t="shared" si="14"/>
        <v>1.25</v>
      </c>
      <c r="AF283" s="3">
        <f>AVERAGE(E283:U283)</f>
        <v>3.1875</v>
      </c>
      <c r="AG283" s="3">
        <f>AVERAGEIF($C:$C, C283, $AE:$AE)</f>
        <v>1.25</v>
      </c>
      <c r="AH283" s="3">
        <f t="shared" si="13"/>
        <v>1.9375</v>
      </c>
      <c r="AI283" s="3">
        <f>IF(Table1[[#This Row],[Attendance Bracket]]="&gt;75%", 1, IF(Table1[[#This Row],[Attendance Bracket]]="50-75%", 0.8, 0.6))</f>
        <v>0.6</v>
      </c>
      <c r="AJ283" s="3">
        <v>2</v>
      </c>
      <c r="AK283" s="3" t="s">
        <v>684</v>
      </c>
      <c r="AL283" s="3">
        <f>VLOOKUP(C283,Table14[[#All],[Department]:[Publication_count]], 2, FALSE)</f>
        <v>5</v>
      </c>
      <c r="AM283" s="3">
        <v>6.3333333329999997</v>
      </c>
      <c r="AN283" s="3">
        <v>1.474358974</v>
      </c>
    </row>
    <row r="284" spans="1:40" x14ac:dyDescent="0.25">
      <c r="A284" t="s">
        <v>309</v>
      </c>
      <c r="B284" t="s">
        <v>609</v>
      </c>
      <c r="C284" t="s">
        <v>627</v>
      </c>
      <c r="D284" s="5" t="s">
        <v>630</v>
      </c>
      <c r="E284" s="3">
        <v>5</v>
      </c>
      <c r="F284" s="3">
        <v>5</v>
      </c>
      <c r="G284" s="3">
        <v>3</v>
      </c>
      <c r="H284" s="3">
        <v>1</v>
      </c>
      <c r="I284" s="3">
        <v>4</v>
      </c>
      <c r="J284" s="3">
        <v>4</v>
      </c>
      <c r="K284" t="s">
        <v>632</v>
      </c>
      <c r="L284" s="3">
        <f t="shared" si="12"/>
        <v>1</v>
      </c>
      <c r="M284" s="3">
        <v>3</v>
      </c>
      <c r="N284" s="3">
        <v>3</v>
      </c>
      <c r="O284" s="3">
        <v>1</v>
      </c>
      <c r="P284" s="3">
        <v>5</v>
      </c>
      <c r="Q284" s="3">
        <v>4</v>
      </c>
      <c r="R284" s="3">
        <v>4</v>
      </c>
      <c r="S284" s="3">
        <v>5</v>
      </c>
      <c r="T284" s="3">
        <v>5</v>
      </c>
      <c r="U284" s="3">
        <v>4</v>
      </c>
      <c r="V284" t="s">
        <v>636</v>
      </c>
      <c r="W284" t="s">
        <v>642</v>
      </c>
      <c r="X284" t="s">
        <v>649</v>
      </c>
      <c r="Y284" t="s">
        <v>652</v>
      </c>
      <c r="Z284" t="s">
        <v>656</v>
      </c>
      <c r="AA284" s="3">
        <v>8</v>
      </c>
      <c r="AB284">
        <v>1</v>
      </c>
      <c r="AC284" s="3">
        <v>5</v>
      </c>
      <c r="AD284" t="s">
        <v>657</v>
      </c>
      <c r="AE284" s="3">
        <f t="shared" si="14"/>
        <v>1.25</v>
      </c>
      <c r="AF284" s="3">
        <f>AVERAGE(E284:U284)</f>
        <v>3.5625</v>
      </c>
      <c r="AG284" s="3">
        <f>AVERAGEIF($C:$C, C284, $AE:$AE)</f>
        <v>1.25</v>
      </c>
      <c r="AH284" s="3">
        <f t="shared" si="13"/>
        <v>2.3125</v>
      </c>
      <c r="AI284" s="3">
        <f>IF(Table1[[#This Row],[Attendance Bracket]]="&gt;75%", 1, IF(Table1[[#This Row],[Attendance Bracket]]="50-75%", 0.8, 0.6))</f>
        <v>0.6</v>
      </c>
      <c r="AJ284" s="3">
        <v>1</v>
      </c>
      <c r="AK284" s="3" t="s">
        <v>684</v>
      </c>
      <c r="AL284" s="3">
        <f>VLOOKUP(C284,Table14[[#All],[Department]:[Publication_count]], 2, FALSE)</f>
        <v>5</v>
      </c>
      <c r="AM284" s="3">
        <v>6.3333333329999997</v>
      </c>
      <c r="AN284" s="3">
        <v>3.4743589739999998</v>
      </c>
    </row>
    <row r="285" spans="1:40" x14ac:dyDescent="0.25">
      <c r="A285" t="s">
        <v>310</v>
      </c>
      <c r="B285" t="s">
        <v>610</v>
      </c>
      <c r="C285" t="s">
        <v>627</v>
      </c>
      <c r="D285" s="5" t="s">
        <v>660</v>
      </c>
      <c r="E285" s="3">
        <v>1</v>
      </c>
      <c r="F285" s="3">
        <v>5</v>
      </c>
      <c r="G285" s="3">
        <v>1</v>
      </c>
      <c r="H285" s="3">
        <v>2</v>
      </c>
      <c r="I285" s="3">
        <v>4</v>
      </c>
      <c r="J285" s="3">
        <v>2</v>
      </c>
      <c r="K285" t="s">
        <v>631</v>
      </c>
      <c r="L285" s="3">
        <f t="shared" si="12"/>
        <v>4</v>
      </c>
      <c r="M285" s="3">
        <v>2</v>
      </c>
      <c r="N285" s="3">
        <v>5</v>
      </c>
      <c r="O285" s="3">
        <v>4</v>
      </c>
      <c r="P285" s="3">
        <v>1</v>
      </c>
      <c r="Q285" s="3">
        <v>2</v>
      </c>
      <c r="R285" s="3">
        <v>5</v>
      </c>
      <c r="S285" s="3">
        <v>3</v>
      </c>
      <c r="T285" s="3">
        <v>5</v>
      </c>
      <c r="U285" s="3">
        <v>5</v>
      </c>
      <c r="V285" t="s">
        <v>638</v>
      </c>
      <c r="W285" t="s">
        <v>642</v>
      </c>
      <c r="X285" t="s">
        <v>649</v>
      </c>
      <c r="Y285" t="s">
        <v>653</v>
      </c>
      <c r="Z285" t="s">
        <v>655</v>
      </c>
      <c r="AA285" s="3">
        <v>17</v>
      </c>
      <c r="AB285">
        <v>0</v>
      </c>
      <c r="AC285" s="3">
        <v>1</v>
      </c>
      <c r="AD285" t="s">
        <v>657</v>
      </c>
      <c r="AE285" s="3">
        <f t="shared" si="14"/>
        <v>1.25</v>
      </c>
      <c r="AF285" s="3">
        <f>AVERAGE(E285:U285)</f>
        <v>3.1875</v>
      </c>
      <c r="AG285" s="3">
        <f>AVERAGEIF($C:$C, C285, $AE:$AE)</f>
        <v>1.25</v>
      </c>
      <c r="AH285" s="3">
        <f t="shared" si="13"/>
        <v>1.9375</v>
      </c>
      <c r="AI285" s="3">
        <f>IF(Table1[[#This Row],[Attendance Bracket]]="&gt;75%", 1, IF(Table1[[#This Row],[Attendance Bracket]]="50-75%", 0.8, 0.6))</f>
        <v>1</v>
      </c>
      <c r="AJ285" s="3">
        <v>1</v>
      </c>
      <c r="AK285" s="3" t="s">
        <v>684</v>
      </c>
      <c r="AL285" s="3">
        <f>VLOOKUP(C285,Table14[[#All],[Department]:[Publication_count]], 2, FALSE)</f>
        <v>5</v>
      </c>
      <c r="AM285" s="3">
        <v>6.3333333329999997</v>
      </c>
      <c r="AN285" s="3">
        <v>3.4743589739999998</v>
      </c>
    </row>
    <row r="286" spans="1:40" x14ac:dyDescent="0.25">
      <c r="A286" t="s">
        <v>311</v>
      </c>
      <c r="B286" t="s">
        <v>611</v>
      </c>
      <c r="C286" t="s">
        <v>629</v>
      </c>
      <c r="D286" s="5" t="s">
        <v>659</v>
      </c>
      <c r="E286" s="3">
        <v>5</v>
      </c>
      <c r="F286" s="3">
        <v>4</v>
      </c>
      <c r="G286" s="3">
        <v>4</v>
      </c>
      <c r="H286" s="3">
        <v>5</v>
      </c>
      <c r="I286" s="3">
        <v>5</v>
      </c>
      <c r="J286" s="3">
        <v>3</v>
      </c>
      <c r="K286" t="s">
        <v>633</v>
      </c>
      <c r="L286" s="3">
        <f t="shared" si="12"/>
        <v>2</v>
      </c>
      <c r="M286" s="3">
        <v>4</v>
      </c>
      <c r="N286" s="3">
        <v>5</v>
      </c>
      <c r="O286" s="3">
        <v>4</v>
      </c>
      <c r="P286" s="3">
        <v>2</v>
      </c>
      <c r="Q286" s="3">
        <v>1</v>
      </c>
      <c r="R286" s="3">
        <v>4</v>
      </c>
      <c r="S286" s="3">
        <v>3</v>
      </c>
      <c r="T286" s="3">
        <v>3</v>
      </c>
      <c r="U286" s="3">
        <v>2</v>
      </c>
      <c r="V286" t="s">
        <v>637</v>
      </c>
      <c r="W286" t="s">
        <v>642</v>
      </c>
      <c r="X286" t="s">
        <v>650</v>
      </c>
      <c r="Y286" t="s">
        <v>653</v>
      </c>
      <c r="Z286" t="s">
        <v>656</v>
      </c>
      <c r="AA286" s="3">
        <v>10</v>
      </c>
      <c r="AB286">
        <v>1</v>
      </c>
      <c r="AC286" s="3">
        <v>1</v>
      </c>
      <c r="AD286" t="s">
        <v>657</v>
      </c>
      <c r="AE286" s="3">
        <f t="shared" si="14"/>
        <v>1.25</v>
      </c>
      <c r="AF286" s="3">
        <f>AVERAGE(E286:U286)</f>
        <v>3.5</v>
      </c>
      <c r="AG286" s="3">
        <f>AVERAGEIF($C:$C, C286, $AE:$AE)</f>
        <v>1.2450000000000001</v>
      </c>
      <c r="AH286" s="3">
        <f t="shared" si="13"/>
        <v>2.2549999999999999</v>
      </c>
      <c r="AI286" s="3">
        <f>IF(Table1[[#This Row],[Attendance Bracket]]="&gt;75%", 1, IF(Table1[[#This Row],[Attendance Bracket]]="50-75%", 0.8, 0.6))</f>
        <v>1</v>
      </c>
      <c r="AJ286" s="3">
        <v>1</v>
      </c>
      <c r="AK286" s="3" t="s">
        <v>684</v>
      </c>
      <c r="AL286" s="3">
        <f>VLOOKUP(C286,Table14[[#All],[Department]:[Publication_count]], 2, FALSE)</f>
        <v>3</v>
      </c>
      <c r="AM286" s="3">
        <v>4.6666666670000003</v>
      </c>
      <c r="AN286" s="3">
        <v>2.7179487180000002</v>
      </c>
    </row>
    <row r="287" spans="1:40" x14ac:dyDescent="0.25">
      <c r="A287" t="s">
        <v>312</v>
      </c>
      <c r="B287" t="s">
        <v>612</v>
      </c>
      <c r="C287" t="s">
        <v>628</v>
      </c>
      <c r="D287" s="5" t="s">
        <v>659</v>
      </c>
      <c r="E287" s="3">
        <v>3</v>
      </c>
      <c r="F287" s="3">
        <v>2</v>
      </c>
      <c r="G287" s="3">
        <v>5</v>
      </c>
      <c r="H287" s="3">
        <v>1</v>
      </c>
      <c r="I287" s="3">
        <v>1</v>
      </c>
      <c r="J287" s="3">
        <v>5</v>
      </c>
      <c r="K287" t="s">
        <v>631</v>
      </c>
      <c r="L287" s="3">
        <f t="shared" si="12"/>
        <v>4</v>
      </c>
      <c r="M287" s="3">
        <v>3</v>
      </c>
      <c r="N287" s="3">
        <v>2</v>
      </c>
      <c r="O287" s="3">
        <v>5</v>
      </c>
      <c r="P287" s="3">
        <v>2</v>
      </c>
      <c r="Q287" s="3">
        <v>2</v>
      </c>
      <c r="R287" s="3">
        <v>3</v>
      </c>
      <c r="S287" s="3">
        <v>1</v>
      </c>
      <c r="T287" s="3">
        <v>2</v>
      </c>
      <c r="U287" s="3">
        <v>4</v>
      </c>
      <c r="V287" t="s">
        <v>640</v>
      </c>
      <c r="W287" t="s">
        <v>644</v>
      </c>
      <c r="X287" t="s">
        <v>649</v>
      </c>
      <c r="Y287" t="s">
        <v>653</v>
      </c>
      <c r="Z287" t="s">
        <v>654</v>
      </c>
      <c r="AA287" s="3">
        <v>20</v>
      </c>
      <c r="AB287">
        <v>1</v>
      </c>
      <c r="AC287" s="3">
        <v>4</v>
      </c>
      <c r="AD287" t="s">
        <v>657</v>
      </c>
      <c r="AE287" s="3">
        <f>IF(AE289, 1.25, 1)</f>
        <v>1.25</v>
      </c>
      <c r="AF287" s="3">
        <f>AVERAGE(E287:U287)</f>
        <v>2.8125</v>
      </c>
      <c r="AG287" s="3">
        <f>AVERAGEIF($C:$C, C287, $AE:$AE)</f>
        <v>1.25</v>
      </c>
      <c r="AH287" s="3">
        <f t="shared" si="13"/>
        <v>1.5625</v>
      </c>
      <c r="AI287" s="3">
        <f>IF(Table1[[#This Row],[Attendance Bracket]]="&gt;75%", 1, IF(Table1[[#This Row],[Attendance Bracket]]="50-75%", 0.8, 0.6))</f>
        <v>1</v>
      </c>
      <c r="AJ287" s="3">
        <v>2</v>
      </c>
      <c r="AK287" s="3" t="s">
        <v>684</v>
      </c>
      <c r="AL287" s="3">
        <f>VLOOKUP(C287,Table14[[#All],[Department]:[Publication_count]], 2, FALSE)</f>
        <v>12</v>
      </c>
      <c r="AM287" s="3">
        <v>16.25</v>
      </c>
      <c r="AN287" s="3">
        <v>3.5</v>
      </c>
    </row>
    <row r="288" spans="1:40" x14ac:dyDescent="0.25">
      <c r="A288" t="s">
        <v>313</v>
      </c>
      <c r="B288" t="s">
        <v>613</v>
      </c>
      <c r="C288" t="s">
        <v>628</v>
      </c>
      <c r="D288" s="5" t="s">
        <v>659</v>
      </c>
      <c r="E288" s="3">
        <v>4</v>
      </c>
      <c r="F288" s="3">
        <v>4</v>
      </c>
      <c r="G288" s="3">
        <v>3</v>
      </c>
      <c r="H288" s="3">
        <v>4</v>
      </c>
      <c r="I288" s="3">
        <v>3</v>
      </c>
      <c r="J288" s="3">
        <v>2</v>
      </c>
      <c r="K288" t="s">
        <v>633</v>
      </c>
      <c r="L288" s="3">
        <f t="shared" si="12"/>
        <v>2</v>
      </c>
      <c r="M288" s="3">
        <v>3</v>
      </c>
      <c r="N288" s="3">
        <v>2</v>
      </c>
      <c r="O288" s="3">
        <v>5</v>
      </c>
      <c r="P288" s="3">
        <v>1</v>
      </c>
      <c r="Q288" s="3">
        <v>2</v>
      </c>
      <c r="R288" s="3">
        <v>2</v>
      </c>
      <c r="S288" s="3">
        <v>3</v>
      </c>
      <c r="T288" s="3">
        <v>1</v>
      </c>
      <c r="U288" s="3">
        <v>3</v>
      </c>
      <c r="V288" t="s">
        <v>637</v>
      </c>
      <c r="W288" t="s">
        <v>643</v>
      </c>
      <c r="X288" t="s">
        <v>648</v>
      </c>
      <c r="Y288" t="s">
        <v>652</v>
      </c>
      <c r="Z288" t="s">
        <v>654</v>
      </c>
      <c r="AA288" s="3">
        <v>7</v>
      </c>
      <c r="AB288">
        <v>0</v>
      </c>
      <c r="AC288" s="3">
        <v>4</v>
      </c>
      <c r="AD288" t="s">
        <v>657</v>
      </c>
      <c r="AE288" s="3">
        <f>IF(AE290, 1.25, 1)</f>
        <v>1.25</v>
      </c>
      <c r="AF288" s="3">
        <f>AVERAGE(E288:U288)</f>
        <v>2.75</v>
      </c>
      <c r="AG288" s="3">
        <f>AVERAGEIF($C:$C, C288, $AE:$AE)</f>
        <v>1.25</v>
      </c>
      <c r="AH288" s="3">
        <f t="shared" si="13"/>
        <v>1.5</v>
      </c>
      <c r="AI288" s="3">
        <f>IF(Table1[[#This Row],[Attendance Bracket]]="&gt;75%", 1, IF(Table1[[#This Row],[Attendance Bracket]]="50-75%", 0.8, 0.6))</f>
        <v>0.6</v>
      </c>
      <c r="AJ288" s="3">
        <v>2</v>
      </c>
      <c r="AK288" s="3" t="s">
        <v>684</v>
      </c>
      <c r="AL288" s="3">
        <f>VLOOKUP(C288,Table14[[#All],[Department]:[Publication_count]], 2, FALSE)</f>
        <v>12</v>
      </c>
      <c r="AM288" s="3">
        <v>16.25</v>
      </c>
      <c r="AN288" s="3">
        <v>4.5</v>
      </c>
    </row>
    <row r="289" spans="1:40" x14ac:dyDescent="0.25">
      <c r="A289" t="s">
        <v>314</v>
      </c>
      <c r="B289" t="s">
        <v>614</v>
      </c>
      <c r="C289" t="s">
        <v>627</v>
      </c>
      <c r="D289" s="5" t="s">
        <v>660</v>
      </c>
      <c r="E289" s="3">
        <v>3</v>
      </c>
      <c r="F289" s="3">
        <v>2</v>
      </c>
      <c r="G289" s="3">
        <v>2</v>
      </c>
      <c r="H289" s="3">
        <v>2</v>
      </c>
      <c r="I289" s="3">
        <v>1</v>
      </c>
      <c r="J289" s="3">
        <v>2</v>
      </c>
      <c r="K289" t="s">
        <v>633</v>
      </c>
      <c r="L289" s="3">
        <f t="shared" si="12"/>
        <v>2</v>
      </c>
      <c r="M289" s="3">
        <v>2</v>
      </c>
      <c r="N289" s="3">
        <v>4</v>
      </c>
      <c r="O289" s="3">
        <v>2</v>
      </c>
      <c r="P289" s="3">
        <v>3</v>
      </c>
      <c r="Q289" s="3">
        <v>1</v>
      </c>
      <c r="R289" s="3">
        <v>4</v>
      </c>
      <c r="S289" s="3">
        <v>5</v>
      </c>
      <c r="T289" s="3">
        <v>4</v>
      </c>
      <c r="U289" s="3">
        <v>5</v>
      </c>
      <c r="V289" t="s">
        <v>638</v>
      </c>
      <c r="W289" t="s">
        <v>645</v>
      </c>
      <c r="X289" t="s">
        <v>647</v>
      </c>
      <c r="Y289" t="s">
        <v>652</v>
      </c>
      <c r="Z289" t="s">
        <v>656</v>
      </c>
      <c r="AA289" s="4">
        <v>5</v>
      </c>
      <c r="AB289">
        <v>0</v>
      </c>
      <c r="AC289" s="3">
        <v>2</v>
      </c>
      <c r="AD289" t="s">
        <v>657</v>
      </c>
      <c r="AE289" s="3">
        <f>IF(AE291, 1.25, 1)</f>
        <v>1.25</v>
      </c>
      <c r="AF289" s="3">
        <f>AVERAGE(E289:U289)</f>
        <v>2.75</v>
      </c>
      <c r="AG289" s="3">
        <f>AVERAGEIF($C:$C, C289, $AE:$AE)</f>
        <v>1.25</v>
      </c>
      <c r="AH289" s="3">
        <f t="shared" si="13"/>
        <v>1.5</v>
      </c>
      <c r="AI289" s="3">
        <f>IF(Table1[[#This Row],[Attendance Bracket]]="&gt;75%", 1, IF(Table1[[#This Row],[Attendance Bracket]]="50-75%", 0.8, 0.6))</f>
        <v>0.6</v>
      </c>
      <c r="AJ289" s="3">
        <v>3</v>
      </c>
      <c r="AK289" s="3" t="s">
        <v>634</v>
      </c>
      <c r="AL289" s="3">
        <f>VLOOKUP(C289,Table14[[#All],[Department]:[Publication_count]], 2, FALSE)</f>
        <v>5</v>
      </c>
      <c r="AM289" s="3">
        <v>6.3333333329999997</v>
      </c>
      <c r="AN289" s="3">
        <v>1.974358974</v>
      </c>
    </row>
    <row r="290" spans="1:40" x14ac:dyDescent="0.25">
      <c r="A290" t="s">
        <v>315</v>
      </c>
      <c r="B290" t="s">
        <v>615</v>
      </c>
      <c r="C290" t="s">
        <v>627</v>
      </c>
      <c r="D290" s="5" t="s">
        <v>660</v>
      </c>
      <c r="E290" s="3">
        <v>3</v>
      </c>
      <c r="F290" s="3">
        <v>4</v>
      </c>
      <c r="G290" s="3">
        <v>2</v>
      </c>
      <c r="H290" s="3">
        <v>4</v>
      </c>
      <c r="I290" s="3">
        <v>5</v>
      </c>
      <c r="J290" s="3">
        <v>2</v>
      </c>
      <c r="K290" t="s">
        <v>634</v>
      </c>
      <c r="L290" s="3">
        <f t="shared" si="12"/>
        <v>3</v>
      </c>
      <c r="M290" s="3">
        <v>4</v>
      </c>
      <c r="N290" s="3">
        <v>2</v>
      </c>
      <c r="O290" s="3">
        <v>5</v>
      </c>
      <c r="P290" s="3">
        <v>3</v>
      </c>
      <c r="Q290" s="3">
        <v>3</v>
      </c>
      <c r="R290" s="3">
        <v>1</v>
      </c>
      <c r="S290" s="3">
        <v>5</v>
      </c>
      <c r="T290" s="3">
        <v>5</v>
      </c>
      <c r="U290" s="3">
        <v>4</v>
      </c>
      <c r="V290" t="s">
        <v>639</v>
      </c>
      <c r="W290" t="s">
        <v>644</v>
      </c>
      <c r="X290" t="s">
        <v>649</v>
      </c>
      <c r="Y290" t="s">
        <v>653</v>
      </c>
      <c r="Z290" t="s">
        <v>656</v>
      </c>
      <c r="AA290" s="3">
        <v>19</v>
      </c>
      <c r="AB290">
        <v>0</v>
      </c>
      <c r="AC290" s="3">
        <v>3</v>
      </c>
      <c r="AD290" t="s">
        <v>657</v>
      </c>
      <c r="AE290" s="3">
        <f>IF(AE292, 1.25, 1)</f>
        <v>1.25</v>
      </c>
      <c r="AF290" s="3">
        <f>AVERAGE(E290:U290)</f>
        <v>3.4375</v>
      </c>
      <c r="AG290" s="3">
        <f>AVERAGEIF($C:$C, C290, $AE:$AE)</f>
        <v>1.25</v>
      </c>
      <c r="AH290" s="3">
        <f t="shared" si="13"/>
        <v>2.1875</v>
      </c>
      <c r="AI290" s="3">
        <f>IF(Table1[[#This Row],[Attendance Bracket]]="&gt;75%", 1, IF(Table1[[#This Row],[Attendance Bracket]]="50-75%", 0.8, 0.6))</f>
        <v>1</v>
      </c>
      <c r="AJ290" s="3">
        <v>2</v>
      </c>
      <c r="AK290" s="3" t="s">
        <v>684</v>
      </c>
      <c r="AL290" s="3">
        <f>VLOOKUP(C290,Table14[[#All],[Department]:[Publication_count]], 2, FALSE)</f>
        <v>5</v>
      </c>
      <c r="AM290" s="3">
        <v>6.3333333329999997</v>
      </c>
      <c r="AN290" s="3">
        <v>2.9743589739999998</v>
      </c>
    </row>
    <row r="291" spans="1:40" x14ac:dyDescent="0.25">
      <c r="A291" t="s">
        <v>316</v>
      </c>
      <c r="B291" t="s">
        <v>616</v>
      </c>
      <c r="C291" t="s">
        <v>627</v>
      </c>
      <c r="D291" s="5" t="s">
        <v>660</v>
      </c>
      <c r="E291" s="3">
        <v>4</v>
      </c>
      <c r="F291" s="3">
        <v>2</v>
      </c>
      <c r="G291" s="3">
        <v>4</v>
      </c>
      <c r="H291" s="3">
        <v>4</v>
      </c>
      <c r="I291" s="3">
        <v>2</v>
      </c>
      <c r="J291" s="3">
        <v>5</v>
      </c>
      <c r="K291" t="s">
        <v>633</v>
      </c>
      <c r="L291" s="3">
        <f t="shared" si="12"/>
        <v>2</v>
      </c>
      <c r="M291" s="3">
        <v>3</v>
      </c>
      <c r="N291" s="3">
        <v>1</v>
      </c>
      <c r="O291" s="3">
        <v>3</v>
      </c>
      <c r="P291" s="3">
        <v>4</v>
      </c>
      <c r="Q291" s="3">
        <v>4</v>
      </c>
      <c r="R291" s="3">
        <v>5</v>
      </c>
      <c r="S291" s="3">
        <v>3</v>
      </c>
      <c r="T291" s="3">
        <v>2</v>
      </c>
      <c r="U291" s="3">
        <v>1</v>
      </c>
      <c r="V291" t="s">
        <v>639</v>
      </c>
      <c r="W291" t="s">
        <v>644</v>
      </c>
      <c r="X291" t="s">
        <v>647</v>
      </c>
      <c r="Y291" t="s">
        <v>653</v>
      </c>
      <c r="Z291" t="s">
        <v>654</v>
      </c>
      <c r="AA291" s="4">
        <v>5</v>
      </c>
      <c r="AB291">
        <v>1</v>
      </c>
      <c r="AC291" s="3">
        <v>1</v>
      </c>
      <c r="AD291" t="s">
        <v>657</v>
      </c>
      <c r="AE291" s="3">
        <f t="shared" si="14"/>
        <v>1.25</v>
      </c>
      <c r="AF291" s="3">
        <f>AVERAGE(E291:U291)</f>
        <v>3.0625</v>
      </c>
      <c r="AG291" s="3">
        <f>AVERAGEIF($C:$C, C291, $AE:$AE)</f>
        <v>1.25</v>
      </c>
      <c r="AH291" s="3">
        <f t="shared" si="13"/>
        <v>1.8125</v>
      </c>
      <c r="AI291" s="3">
        <f>IF(Table1[[#This Row],[Attendance Bracket]]="&gt;75%", 1, IF(Table1[[#This Row],[Attendance Bracket]]="50-75%", 0.8, 0.6))</f>
        <v>1</v>
      </c>
      <c r="AJ291" s="3">
        <v>2</v>
      </c>
      <c r="AK291" s="3" t="s">
        <v>684</v>
      </c>
      <c r="AL291" s="3">
        <f>VLOOKUP(C291,Table14[[#All],[Department]:[Publication_count]], 2, FALSE)</f>
        <v>5</v>
      </c>
      <c r="AM291" s="3">
        <v>6.3333333329999997</v>
      </c>
      <c r="AN291" s="3">
        <v>1.974358974</v>
      </c>
    </row>
    <row r="292" spans="1:40" x14ac:dyDescent="0.25">
      <c r="A292" t="s">
        <v>317</v>
      </c>
      <c r="B292" t="s">
        <v>617</v>
      </c>
      <c r="C292" t="s">
        <v>628</v>
      </c>
      <c r="D292" s="5" t="s">
        <v>659</v>
      </c>
      <c r="E292" s="3">
        <v>1</v>
      </c>
      <c r="F292" s="3">
        <v>2</v>
      </c>
      <c r="G292" s="3">
        <v>4</v>
      </c>
      <c r="H292" s="3">
        <v>4</v>
      </c>
      <c r="I292" s="3">
        <v>1</v>
      </c>
      <c r="J292" s="3">
        <v>1</v>
      </c>
      <c r="K292" t="s">
        <v>633</v>
      </c>
      <c r="L292" s="3">
        <f t="shared" si="12"/>
        <v>2</v>
      </c>
      <c r="M292" s="3">
        <v>2</v>
      </c>
      <c r="N292" s="3">
        <v>1</v>
      </c>
      <c r="O292" s="3">
        <v>1</v>
      </c>
      <c r="P292" s="3">
        <v>3</v>
      </c>
      <c r="Q292" s="3">
        <v>2</v>
      </c>
      <c r="R292" s="3">
        <v>5</v>
      </c>
      <c r="S292" s="3">
        <v>2</v>
      </c>
      <c r="T292" s="3">
        <v>3</v>
      </c>
      <c r="U292" s="3">
        <v>4</v>
      </c>
      <c r="V292" t="s">
        <v>640</v>
      </c>
      <c r="W292" t="s">
        <v>641</v>
      </c>
      <c r="X292" t="s">
        <v>648</v>
      </c>
      <c r="Y292" t="s">
        <v>652</v>
      </c>
      <c r="Z292" t="s">
        <v>656</v>
      </c>
      <c r="AA292" s="3">
        <v>15</v>
      </c>
      <c r="AB292">
        <v>1</v>
      </c>
      <c r="AC292" s="3">
        <v>2</v>
      </c>
      <c r="AD292" t="s">
        <v>657</v>
      </c>
      <c r="AE292" s="3">
        <f t="shared" si="14"/>
        <v>1.25</v>
      </c>
      <c r="AF292" s="3">
        <f>AVERAGE(E292:U292)</f>
        <v>2.375</v>
      </c>
      <c r="AG292" s="3">
        <f>AVERAGEIF($C:$C, C292, $AE:$AE)</f>
        <v>1.25</v>
      </c>
      <c r="AH292" s="3">
        <f t="shared" si="13"/>
        <v>1.125</v>
      </c>
      <c r="AI292" s="3">
        <f>IF(Table1[[#This Row],[Attendance Bracket]]="&gt;75%", 1, IF(Table1[[#This Row],[Attendance Bracket]]="50-75%", 0.8, 0.6))</f>
        <v>0.6</v>
      </c>
      <c r="AJ292" s="3">
        <v>2</v>
      </c>
      <c r="AK292" s="3" t="s">
        <v>684</v>
      </c>
      <c r="AL292" s="3">
        <f>VLOOKUP(C292,Table14[[#All],[Department]:[Publication_count]], 2, FALSE)</f>
        <v>12</v>
      </c>
      <c r="AM292" s="3">
        <v>16.25</v>
      </c>
      <c r="AN292" s="3">
        <v>3.5</v>
      </c>
    </row>
    <row r="293" spans="1:40" x14ac:dyDescent="0.25">
      <c r="A293" t="s">
        <v>318</v>
      </c>
      <c r="B293" t="s">
        <v>618</v>
      </c>
      <c r="C293" t="s">
        <v>628</v>
      </c>
      <c r="D293" s="5" t="s">
        <v>659</v>
      </c>
      <c r="E293" s="3">
        <v>2</v>
      </c>
      <c r="F293" s="3">
        <v>5</v>
      </c>
      <c r="G293" s="3">
        <v>4</v>
      </c>
      <c r="H293" s="3">
        <v>1</v>
      </c>
      <c r="I293" s="3">
        <v>2</v>
      </c>
      <c r="J293" s="3">
        <v>5</v>
      </c>
      <c r="K293" t="s">
        <v>634</v>
      </c>
      <c r="L293" s="3">
        <f t="shared" si="12"/>
        <v>3</v>
      </c>
      <c r="M293" s="3">
        <v>3</v>
      </c>
      <c r="N293" s="3">
        <v>2</v>
      </c>
      <c r="O293" s="3">
        <v>5</v>
      </c>
      <c r="P293" s="3">
        <v>5</v>
      </c>
      <c r="Q293" s="3">
        <v>3</v>
      </c>
      <c r="R293" s="3">
        <v>3</v>
      </c>
      <c r="S293" s="3">
        <v>2</v>
      </c>
      <c r="T293" s="3">
        <v>5</v>
      </c>
      <c r="U293" s="3">
        <v>1</v>
      </c>
      <c r="V293" t="s">
        <v>638</v>
      </c>
      <c r="W293" t="s">
        <v>641</v>
      </c>
      <c r="X293" t="s">
        <v>650</v>
      </c>
      <c r="Y293" t="s">
        <v>652</v>
      </c>
      <c r="Z293" t="s">
        <v>656</v>
      </c>
      <c r="AA293" s="3">
        <v>13</v>
      </c>
      <c r="AB293">
        <v>1</v>
      </c>
      <c r="AC293" s="3">
        <v>4</v>
      </c>
      <c r="AD293" t="s">
        <v>657</v>
      </c>
      <c r="AE293" s="3">
        <f t="shared" si="14"/>
        <v>1.25</v>
      </c>
      <c r="AF293" s="3">
        <f>AVERAGE(E293:U293)</f>
        <v>3.1875</v>
      </c>
      <c r="AG293" s="3">
        <f>AVERAGEIF($C:$C, C293, $AE:$AE)</f>
        <v>1.25</v>
      </c>
      <c r="AH293" s="3">
        <f t="shared" si="13"/>
        <v>1.9375</v>
      </c>
      <c r="AI293" s="3">
        <f>IF(Table1[[#This Row],[Attendance Bracket]]="&gt;75%", 1, IF(Table1[[#This Row],[Attendance Bracket]]="50-75%", 0.8, 0.6))</f>
        <v>0.6</v>
      </c>
      <c r="AJ293" s="3">
        <v>2</v>
      </c>
      <c r="AK293" s="3" t="s">
        <v>684</v>
      </c>
      <c r="AL293" s="3">
        <f>VLOOKUP(C293,Table14[[#All],[Department]:[Publication_count]], 2, FALSE)</f>
        <v>12</v>
      </c>
      <c r="AM293" s="3">
        <v>16.25</v>
      </c>
      <c r="AN293" s="3">
        <v>5</v>
      </c>
    </row>
    <row r="294" spans="1:40" x14ac:dyDescent="0.25">
      <c r="A294" t="s">
        <v>319</v>
      </c>
      <c r="B294" t="s">
        <v>619</v>
      </c>
      <c r="C294" t="s">
        <v>629</v>
      </c>
      <c r="D294" s="5" t="s">
        <v>660</v>
      </c>
      <c r="E294" s="3">
        <v>1</v>
      </c>
      <c r="F294" s="3">
        <v>2</v>
      </c>
      <c r="G294" s="3">
        <v>1</v>
      </c>
      <c r="H294" s="3">
        <v>1</v>
      </c>
      <c r="I294" s="3">
        <v>3</v>
      </c>
      <c r="J294" s="3">
        <v>4</v>
      </c>
      <c r="K294" t="s">
        <v>631</v>
      </c>
      <c r="L294" s="3">
        <f t="shared" si="12"/>
        <v>4</v>
      </c>
      <c r="M294" s="3">
        <v>3</v>
      </c>
      <c r="N294" s="3">
        <v>3</v>
      </c>
      <c r="O294" s="3">
        <v>5</v>
      </c>
      <c r="P294" s="3">
        <v>2</v>
      </c>
      <c r="Q294" s="3">
        <v>4</v>
      </c>
      <c r="R294" s="3">
        <v>5</v>
      </c>
      <c r="S294" s="3">
        <v>5</v>
      </c>
      <c r="T294" s="3">
        <v>1</v>
      </c>
      <c r="U294" s="3">
        <v>5</v>
      </c>
      <c r="V294" t="s">
        <v>640</v>
      </c>
      <c r="W294" t="s">
        <v>645</v>
      </c>
      <c r="X294" t="s">
        <v>648</v>
      </c>
      <c r="Y294" t="s">
        <v>651</v>
      </c>
      <c r="Z294" t="s">
        <v>656</v>
      </c>
      <c r="AA294" s="3">
        <v>20</v>
      </c>
      <c r="AB294">
        <v>0</v>
      </c>
      <c r="AC294" s="3">
        <v>5</v>
      </c>
      <c r="AD294" t="s">
        <v>657</v>
      </c>
      <c r="AE294" s="3">
        <f t="shared" si="14"/>
        <v>1.25</v>
      </c>
      <c r="AF294" s="3">
        <f>AVERAGE(E294:U294)</f>
        <v>3.0625</v>
      </c>
      <c r="AG294" s="3">
        <f>AVERAGEIF($C:$C, C294, $AE:$AE)</f>
        <v>1.2450000000000001</v>
      </c>
      <c r="AH294" s="3">
        <f t="shared" si="13"/>
        <v>1.8174999999999999</v>
      </c>
      <c r="AI294" s="3">
        <f>IF(Table1[[#This Row],[Attendance Bracket]]="&gt;75%", 1, IF(Table1[[#This Row],[Attendance Bracket]]="50-75%", 0.8, 0.6))</f>
        <v>0.8</v>
      </c>
      <c r="AJ294" s="3">
        <v>3</v>
      </c>
      <c r="AK294" s="3" t="s">
        <v>634</v>
      </c>
      <c r="AL294" s="3">
        <f>VLOOKUP(C294,Table14[[#All],[Department]:[Publication_count]], 2, FALSE)</f>
        <v>3</v>
      </c>
      <c r="AM294" s="3">
        <v>4.6666666670000003</v>
      </c>
      <c r="AN294" s="3">
        <v>1.7179487179999999</v>
      </c>
    </row>
    <row r="295" spans="1:40" x14ac:dyDescent="0.25">
      <c r="A295" t="s">
        <v>320</v>
      </c>
      <c r="B295" t="s">
        <v>620</v>
      </c>
      <c r="C295" t="s">
        <v>629</v>
      </c>
      <c r="D295" s="5" t="s">
        <v>630</v>
      </c>
      <c r="E295" s="3">
        <v>2</v>
      </c>
      <c r="F295" s="3">
        <v>5</v>
      </c>
      <c r="G295" s="3">
        <v>4</v>
      </c>
      <c r="H295" s="3">
        <v>4</v>
      </c>
      <c r="I295" s="3">
        <v>4</v>
      </c>
      <c r="J295" s="3">
        <v>1</v>
      </c>
      <c r="K295" t="s">
        <v>631</v>
      </c>
      <c r="L295" s="3">
        <f t="shared" si="12"/>
        <v>4</v>
      </c>
      <c r="M295" s="3">
        <v>2</v>
      </c>
      <c r="N295" s="3">
        <v>5</v>
      </c>
      <c r="O295" s="3">
        <v>2</v>
      </c>
      <c r="P295" s="3">
        <v>2</v>
      </c>
      <c r="Q295" s="3">
        <v>3</v>
      </c>
      <c r="R295" s="3">
        <v>5</v>
      </c>
      <c r="S295" s="3">
        <v>3</v>
      </c>
      <c r="T295" s="3">
        <v>1</v>
      </c>
      <c r="U295" s="3">
        <v>3</v>
      </c>
      <c r="V295" t="s">
        <v>636</v>
      </c>
      <c r="W295" t="s">
        <v>642</v>
      </c>
      <c r="X295" t="s">
        <v>646</v>
      </c>
      <c r="Y295" t="s">
        <v>652</v>
      </c>
      <c r="Z295" t="s">
        <v>656</v>
      </c>
      <c r="AA295" s="3">
        <v>6</v>
      </c>
      <c r="AB295">
        <v>1</v>
      </c>
      <c r="AC295" s="3">
        <v>4</v>
      </c>
      <c r="AD295" t="s">
        <v>657</v>
      </c>
      <c r="AE295" s="3">
        <f t="shared" si="14"/>
        <v>1.25</v>
      </c>
      <c r="AF295" s="3">
        <f>AVERAGE(E295:U295)</f>
        <v>3.125</v>
      </c>
      <c r="AG295" s="3">
        <f>AVERAGEIF($C:$C, C295, $AE:$AE)</f>
        <v>1.2450000000000001</v>
      </c>
      <c r="AH295" s="3">
        <f t="shared" si="13"/>
        <v>1.88</v>
      </c>
      <c r="AI295" s="3">
        <f>IF(Table1[[#This Row],[Attendance Bracket]]="&gt;75%", 1, IF(Table1[[#This Row],[Attendance Bracket]]="50-75%", 0.8, 0.6))</f>
        <v>0.6</v>
      </c>
      <c r="AJ295" s="3">
        <v>1</v>
      </c>
      <c r="AK295" s="3" t="s">
        <v>684</v>
      </c>
      <c r="AL295" s="3">
        <f>VLOOKUP(C295,Table14[[#All],[Department]:[Publication_count]], 2, FALSE)</f>
        <v>3</v>
      </c>
      <c r="AM295" s="3">
        <v>4.6666666670000003</v>
      </c>
      <c r="AN295" s="3">
        <v>3.2179487180000002</v>
      </c>
    </row>
    <row r="296" spans="1:40" x14ac:dyDescent="0.25">
      <c r="A296" t="s">
        <v>321</v>
      </c>
      <c r="B296" t="s">
        <v>621</v>
      </c>
      <c r="C296" t="s">
        <v>629</v>
      </c>
      <c r="D296" s="5" t="s">
        <v>660</v>
      </c>
      <c r="E296" s="3">
        <v>5</v>
      </c>
      <c r="F296" s="3">
        <v>4</v>
      </c>
      <c r="G296" s="3">
        <v>2</v>
      </c>
      <c r="H296" s="3">
        <v>5</v>
      </c>
      <c r="I296" s="3">
        <v>3</v>
      </c>
      <c r="J296" s="3">
        <v>3</v>
      </c>
      <c r="K296" t="s">
        <v>631</v>
      </c>
      <c r="L296" s="3">
        <f t="shared" si="12"/>
        <v>4</v>
      </c>
      <c r="M296" s="3">
        <v>3</v>
      </c>
      <c r="N296" s="3">
        <v>1</v>
      </c>
      <c r="O296" s="3">
        <v>3</v>
      </c>
      <c r="P296" s="3">
        <v>1</v>
      </c>
      <c r="Q296" s="3">
        <v>3</v>
      </c>
      <c r="R296" s="3">
        <v>2</v>
      </c>
      <c r="S296" s="3">
        <v>3</v>
      </c>
      <c r="T296" s="3">
        <v>5</v>
      </c>
      <c r="U296" s="3">
        <v>2</v>
      </c>
      <c r="V296" t="s">
        <v>639</v>
      </c>
      <c r="W296" t="s">
        <v>644</v>
      </c>
      <c r="X296" t="s">
        <v>650</v>
      </c>
      <c r="Y296" t="s">
        <v>652</v>
      </c>
      <c r="Z296" t="s">
        <v>656</v>
      </c>
      <c r="AA296" s="3">
        <v>15</v>
      </c>
      <c r="AB296">
        <v>1</v>
      </c>
      <c r="AC296" s="3">
        <v>2</v>
      </c>
      <c r="AD296" t="s">
        <v>657</v>
      </c>
      <c r="AE296" s="3">
        <f t="shared" si="14"/>
        <v>1.25</v>
      </c>
      <c r="AF296" s="3">
        <f>AVERAGE(E296:U296)</f>
        <v>3.0625</v>
      </c>
      <c r="AG296" s="3">
        <f>AVERAGEIF($C:$C, C296, $AE:$AE)</f>
        <v>1.2450000000000001</v>
      </c>
      <c r="AH296" s="3">
        <f t="shared" si="13"/>
        <v>1.8174999999999999</v>
      </c>
      <c r="AI296" s="3">
        <f>IF(Table1[[#This Row],[Attendance Bracket]]="&gt;75%", 1, IF(Table1[[#This Row],[Attendance Bracket]]="50-75%", 0.8, 0.6))</f>
        <v>0.6</v>
      </c>
      <c r="AJ296" s="3">
        <v>2</v>
      </c>
      <c r="AK296" s="3" t="s">
        <v>684</v>
      </c>
      <c r="AL296" s="3">
        <f>VLOOKUP(C296,Table14[[#All],[Department]:[Publication_count]], 2, FALSE)</f>
        <v>3</v>
      </c>
      <c r="AM296" s="3">
        <v>4.6666666670000003</v>
      </c>
      <c r="AN296" s="3">
        <v>2.7179487180000002</v>
      </c>
    </row>
    <row r="297" spans="1:40" x14ac:dyDescent="0.25">
      <c r="A297" t="s">
        <v>322</v>
      </c>
      <c r="B297" t="s">
        <v>622</v>
      </c>
      <c r="C297" t="s">
        <v>627</v>
      </c>
      <c r="D297" s="5" t="s">
        <v>630</v>
      </c>
      <c r="E297" s="3">
        <v>3</v>
      </c>
      <c r="F297" s="3">
        <v>5</v>
      </c>
      <c r="G297" s="3">
        <v>4</v>
      </c>
      <c r="H297" s="3">
        <v>1</v>
      </c>
      <c r="I297" s="3">
        <v>4</v>
      </c>
      <c r="J297" s="3">
        <v>4</v>
      </c>
      <c r="K297" t="s">
        <v>632</v>
      </c>
      <c r="L297" s="3">
        <f t="shared" si="12"/>
        <v>1</v>
      </c>
      <c r="M297" s="3">
        <v>5</v>
      </c>
      <c r="N297" s="3">
        <v>1</v>
      </c>
      <c r="O297" s="3">
        <v>3</v>
      </c>
      <c r="P297" s="3">
        <v>2</v>
      </c>
      <c r="Q297" s="3">
        <v>4</v>
      </c>
      <c r="R297" s="3">
        <v>4</v>
      </c>
      <c r="S297" s="3">
        <v>4</v>
      </c>
      <c r="T297" s="3">
        <v>3</v>
      </c>
      <c r="U297" s="3">
        <v>3</v>
      </c>
      <c r="V297" t="s">
        <v>636</v>
      </c>
      <c r="W297" t="s">
        <v>642</v>
      </c>
      <c r="X297" t="s">
        <v>648</v>
      </c>
      <c r="Y297" t="s">
        <v>652</v>
      </c>
      <c r="Z297" t="s">
        <v>655</v>
      </c>
      <c r="AA297" s="3">
        <v>11</v>
      </c>
      <c r="AB297">
        <v>0</v>
      </c>
      <c r="AC297" s="3">
        <v>1</v>
      </c>
      <c r="AD297" t="s">
        <v>657</v>
      </c>
      <c r="AE297" s="3">
        <f t="shared" si="14"/>
        <v>1.25</v>
      </c>
      <c r="AF297" s="3">
        <f>AVERAGE(E297:U297)</f>
        <v>3.1875</v>
      </c>
      <c r="AG297" s="3">
        <f>AVERAGEIF($C:$C, C297, $AE:$AE)</f>
        <v>1.25</v>
      </c>
      <c r="AH297" s="3">
        <f t="shared" si="13"/>
        <v>1.9375</v>
      </c>
      <c r="AI297" s="3">
        <f>IF(Table1[[#This Row],[Attendance Bracket]]="&gt;75%", 1, IF(Table1[[#This Row],[Attendance Bracket]]="50-75%", 0.8, 0.6))</f>
        <v>0.6</v>
      </c>
      <c r="AJ297" s="3">
        <v>1</v>
      </c>
      <c r="AK297" s="3" t="s">
        <v>684</v>
      </c>
      <c r="AL297" s="3">
        <f>VLOOKUP(C297,Table14[[#All],[Department]:[Publication_count]], 2, FALSE)</f>
        <v>5</v>
      </c>
      <c r="AM297" s="3">
        <v>6.3333333329999997</v>
      </c>
      <c r="AN297" s="3">
        <v>3.4743589739999998</v>
      </c>
    </row>
    <row r="298" spans="1:40" x14ac:dyDescent="0.25">
      <c r="A298" t="s">
        <v>323</v>
      </c>
      <c r="B298" t="s">
        <v>623</v>
      </c>
      <c r="C298" t="s">
        <v>629</v>
      </c>
      <c r="D298" s="5" t="s">
        <v>659</v>
      </c>
      <c r="E298" s="3">
        <v>3</v>
      </c>
      <c r="F298" s="3">
        <v>5</v>
      </c>
      <c r="G298" s="3">
        <v>4</v>
      </c>
      <c r="H298" s="3">
        <v>2</v>
      </c>
      <c r="I298" s="3">
        <v>2</v>
      </c>
      <c r="J298" s="3">
        <v>1</v>
      </c>
      <c r="K298" t="s">
        <v>634</v>
      </c>
      <c r="L298" s="3">
        <f t="shared" si="12"/>
        <v>3</v>
      </c>
      <c r="M298" s="3">
        <v>4</v>
      </c>
      <c r="N298" s="3">
        <v>2</v>
      </c>
      <c r="O298" s="3">
        <v>1</v>
      </c>
      <c r="P298" s="3">
        <v>5</v>
      </c>
      <c r="Q298" s="3">
        <v>5</v>
      </c>
      <c r="R298" s="3">
        <v>3</v>
      </c>
      <c r="S298" s="3">
        <v>3</v>
      </c>
      <c r="T298" s="3">
        <v>1</v>
      </c>
      <c r="U298" s="3">
        <v>1</v>
      </c>
      <c r="V298" t="s">
        <v>640</v>
      </c>
      <c r="W298" t="s">
        <v>641</v>
      </c>
      <c r="X298" t="s">
        <v>650</v>
      </c>
      <c r="Y298" t="s">
        <v>652</v>
      </c>
      <c r="Z298" t="s">
        <v>656</v>
      </c>
      <c r="AA298" s="3">
        <v>16</v>
      </c>
      <c r="AB298">
        <v>1</v>
      </c>
      <c r="AC298" s="3">
        <v>3</v>
      </c>
      <c r="AD298" t="s">
        <v>657</v>
      </c>
      <c r="AE298" s="3">
        <f t="shared" si="14"/>
        <v>1.25</v>
      </c>
      <c r="AF298" s="3">
        <f>AVERAGE(E298:U298)</f>
        <v>2.8125</v>
      </c>
      <c r="AG298" s="3">
        <f>AVERAGEIF($C:$C, C298, $AE:$AE)</f>
        <v>1.2450000000000001</v>
      </c>
      <c r="AH298" s="3">
        <f t="shared" si="13"/>
        <v>1.5674999999999999</v>
      </c>
      <c r="AI298" s="3">
        <f>IF(Table1[[#This Row],[Attendance Bracket]]="&gt;75%", 1, IF(Table1[[#This Row],[Attendance Bracket]]="50-75%", 0.8, 0.6))</f>
        <v>0.6</v>
      </c>
      <c r="AJ298" s="3">
        <v>2</v>
      </c>
      <c r="AK298" s="3" t="s">
        <v>684</v>
      </c>
      <c r="AL298" s="3">
        <f>VLOOKUP(C298,Table14[[#All],[Department]:[Publication_count]], 2, FALSE)</f>
        <v>3</v>
      </c>
      <c r="AM298" s="3">
        <v>4.6666666670000003</v>
      </c>
      <c r="AN298" s="3">
        <v>3.2179487180000002</v>
      </c>
    </row>
    <row r="299" spans="1:40" x14ac:dyDescent="0.25">
      <c r="A299" t="s">
        <v>324</v>
      </c>
      <c r="B299" t="s">
        <v>624</v>
      </c>
      <c r="C299" t="s">
        <v>629</v>
      </c>
      <c r="D299" s="5" t="s">
        <v>630</v>
      </c>
      <c r="E299" s="3">
        <v>3</v>
      </c>
      <c r="F299" s="3">
        <v>3</v>
      </c>
      <c r="G299" s="3">
        <v>2</v>
      </c>
      <c r="H299" s="3">
        <v>2</v>
      </c>
      <c r="I299" s="3">
        <v>1</v>
      </c>
      <c r="J299" s="3">
        <v>4</v>
      </c>
      <c r="K299" t="s">
        <v>631</v>
      </c>
      <c r="L299" s="3">
        <f t="shared" si="12"/>
        <v>4</v>
      </c>
      <c r="M299" s="3">
        <v>5</v>
      </c>
      <c r="N299" s="3">
        <v>1</v>
      </c>
      <c r="O299" s="3">
        <v>1</v>
      </c>
      <c r="P299" s="3">
        <v>3</v>
      </c>
      <c r="Q299" s="3">
        <v>4</v>
      </c>
      <c r="R299" s="3">
        <v>4</v>
      </c>
      <c r="S299" s="3">
        <v>1</v>
      </c>
      <c r="T299" s="3">
        <v>4</v>
      </c>
      <c r="U299" s="3">
        <v>1</v>
      </c>
      <c r="V299" t="s">
        <v>638</v>
      </c>
      <c r="W299" t="s">
        <v>645</v>
      </c>
      <c r="X299" t="s">
        <v>647</v>
      </c>
      <c r="Y299" t="s">
        <v>651</v>
      </c>
      <c r="Z299" t="s">
        <v>655</v>
      </c>
      <c r="AA299" s="3">
        <v>18</v>
      </c>
      <c r="AB299">
        <v>0</v>
      </c>
      <c r="AC299" s="3">
        <v>2</v>
      </c>
      <c r="AD299" t="s">
        <v>657</v>
      </c>
      <c r="AE299" s="3">
        <f t="shared" si="14"/>
        <v>1.25</v>
      </c>
      <c r="AF299" s="3">
        <f>AVERAGE(E299:U299)</f>
        <v>2.6875</v>
      </c>
      <c r="AG299" s="3">
        <f>AVERAGEIF($C:$C, C299, $AE:$AE)</f>
        <v>1.2450000000000001</v>
      </c>
      <c r="AH299" s="3">
        <f t="shared" si="13"/>
        <v>1.4424999999999999</v>
      </c>
      <c r="AI299" s="3">
        <f>IF(Table1[[#This Row],[Attendance Bracket]]="&gt;75%", 1, IF(Table1[[#This Row],[Attendance Bracket]]="50-75%", 0.8, 0.6))</f>
        <v>0.8</v>
      </c>
      <c r="AJ299" s="3">
        <v>3</v>
      </c>
      <c r="AK299" s="3" t="s">
        <v>634</v>
      </c>
      <c r="AL299" s="3">
        <f>VLOOKUP(C299,Table14[[#All],[Department]:[Publication_count]], 2, FALSE)</f>
        <v>3</v>
      </c>
      <c r="AM299" s="3">
        <v>4.6666666670000003</v>
      </c>
      <c r="AN299" s="3">
        <v>2.2179487180000002</v>
      </c>
    </row>
    <row r="300" spans="1:40" x14ac:dyDescent="0.25">
      <c r="A300" t="s">
        <v>325</v>
      </c>
      <c r="B300" t="s">
        <v>625</v>
      </c>
      <c r="C300" t="s">
        <v>629</v>
      </c>
      <c r="D300" s="5" t="s">
        <v>659</v>
      </c>
      <c r="E300" s="3">
        <v>1</v>
      </c>
      <c r="F300" s="3">
        <v>2</v>
      </c>
      <c r="G300" s="3">
        <v>2</v>
      </c>
      <c r="H300" s="3">
        <v>4</v>
      </c>
      <c r="I300" s="3">
        <v>4</v>
      </c>
      <c r="J300" s="3">
        <v>4</v>
      </c>
      <c r="K300" t="s">
        <v>635</v>
      </c>
      <c r="L300" s="3">
        <f t="shared" si="12"/>
        <v>5</v>
      </c>
      <c r="M300" s="3">
        <v>5</v>
      </c>
      <c r="N300" s="3">
        <v>5</v>
      </c>
      <c r="O300" s="3">
        <v>3</v>
      </c>
      <c r="P300" s="3">
        <v>1</v>
      </c>
      <c r="Q300" s="3">
        <v>1</v>
      </c>
      <c r="R300" s="3">
        <v>2</v>
      </c>
      <c r="S300" s="3">
        <v>4</v>
      </c>
      <c r="T300" s="3">
        <v>2</v>
      </c>
      <c r="U300" s="3">
        <v>2</v>
      </c>
      <c r="V300" t="s">
        <v>639</v>
      </c>
      <c r="W300" t="s">
        <v>643</v>
      </c>
      <c r="X300" t="s">
        <v>647</v>
      </c>
      <c r="Y300" t="s">
        <v>653</v>
      </c>
      <c r="Z300" t="s">
        <v>656</v>
      </c>
      <c r="AA300" s="3">
        <v>12</v>
      </c>
      <c r="AB300">
        <v>1</v>
      </c>
      <c r="AC300" s="3">
        <v>4</v>
      </c>
      <c r="AD300" t="s">
        <v>657</v>
      </c>
      <c r="AE300" s="3">
        <f>IF(AD302, 1.25, 1)</f>
        <v>1</v>
      </c>
      <c r="AF300" s="3">
        <f>AVERAGE(E300:U300)</f>
        <v>2.9375</v>
      </c>
      <c r="AG300" s="3">
        <f>AVERAGEIF($C:$C, C300, $AE:$AE)</f>
        <v>1.2450000000000001</v>
      </c>
      <c r="AH300" s="3">
        <f t="shared" si="13"/>
        <v>1.6924999999999999</v>
      </c>
      <c r="AI300" s="3">
        <f>IF(Table1[[#This Row],[Attendance Bracket]]="&gt;75%", 1, IF(Table1[[#This Row],[Attendance Bracket]]="50-75%", 0.8, 0.6))</f>
        <v>1</v>
      </c>
      <c r="AJ300" s="3">
        <v>2</v>
      </c>
      <c r="AK300" s="3" t="s">
        <v>684</v>
      </c>
      <c r="AL300" s="3">
        <f>VLOOKUP(C300,Table14[[#All],[Department]:[Publication_count]], 2, FALSE)</f>
        <v>3</v>
      </c>
      <c r="AM300" s="3">
        <v>4.6666666670000003</v>
      </c>
      <c r="AN300" s="3">
        <v>1.7179487179999999</v>
      </c>
    </row>
    <row r="301" spans="1:40" x14ac:dyDescent="0.25">
      <c r="A301" t="s">
        <v>326</v>
      </c>
      <c r="B301" t="s">
        <v>626</v>
      </c>
      <c r="C301" t="s">
        <v>629</v>
      </c>
      <c r="D301" s="5" t="s">
        <v>630</v>
      </c>
      <c r="E301" s="3">
        <v>2</v>
      </c>
      <c r="F301" s="3">
        <v>4</v>
      </c>
      <c r="G301" s="3">
        <v>5</v>
      </c>
      <c r="H301" s="3">
        <v>2</v>
      </c>
      <c r="I301" s="3">
        <v>3</v>
      </c>
      <c r="J301" s="3">
        <v>3</v>
      </c>
      <c r="K301" t="s">
        <v>632</v>
      </c>
      <c r="L301" s="3">
        <f t="shared" si="12"/>
        <v>1</v>
      </c>
      <c r="M301" s="3">
        <v>2</v>
      </c>
      <c r="N301" s="3">
        <v>2</v>
      </c>
      <c r="O301" s="3">
        <v>2</v>
      </c>
      <c r="P301" s="3">
        <v>4</v>
      </c>
      <c r="Q301" s="3">
        <v>2</v>
      </c>
      <c r="R301" s="3">
        <v>5</v>
      </c>
      <c r="S301" s="3">
        <v>1</v>
      </c>
      <c r="T301" s="3">
        <v>1</v>
      </c>
      <c r="U301" s="3">
        <v>5</v>
      </c>
      <c r="V301" t="s">
        <v>638</v>
      </c>
      <c r="W301" t="s">
        <v>641</v>
      </c>
      <c r="X301" t="s">
        <v>647</v>
      </c>
      <c r="Y301" t="s">
        <v>652</v>
      </c>
      <c r="Z301" t="s">
        <v>654</v>
      </c>
      <c r="AA301" s="3">
        <v>14</v>
      </c>
      <c r="AB301">
        <v>1</v>
      </c>
      <c r="AC301" s="3">
        <v>1</v>
      </c>
      <c r="AD301" t="s">
        <v>657</v>
      </c>
      <c r="AE301" s="3">
        <f>IF(AD303, 1.25, 1)</f>
        <v>1</v>
      </c>
      <c r="AF301" s="3">
        <f>AVERAGE(E301:U301)</f>
        <v>2.75</v>
      </c>
      <c r="AG301" s="3">
        <f>AVERAGEIF($C:$C, C301, $AE:$AE)</f>
        <v>1.2450000000000001</v>
      </c>
      <c r="AH301" s="3">
        <f t="shared" si="13"/>
        <v>1.5049999999999999</v>
      </c>
      <c r="AI301" s="3">
        <f>IF(Table1[[#This Row],[Attendance Bracket]]="&gt;75%", 1, IF(Table1[[#This Row],[Attendance Bracket]]="50-75%", 0.8, 0.6))</f>
        <v>0.6</v>
      </c>
      <c r="AJ301" s="3">
        <v>2</v>
      </c>
      <c r="AK301" s="3" t="s">
        <v>684</v>
      </c>
      <c r="AL301" s="3">
        <f>VLOOKUP(C301,Table14[[#All],[Department]:[Publication_count]], 2, FALSE)</f>
        <v>3</v>
      </c>
      <c r="AM301" s="3">
        <v>4.6666666670000003</v>
      </c>
      <c r="AN301" s="3">
        <v>2.7179487180000002</v>
      </c>
    </row>
    <row r="321" spans="27:27" x14ac:dyDescent="0.25">
      <c r="AA321" t="s">
        <v>679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B5" sqref="B5"/>
    </sheetView>
  </sheetViews>
  <sheetFormatPr defaultRowHeight="15" x14ac:dyDescent="0.25"/>
  <cols>
    <col min="1" max="1" width="18.42578125" bestFit="1" customWidth="1"/>
    <col min="2" max="2" width="25.140625" bestFit="1" customWidth="1"/>
    <col min="3" max="3" width="26.7109375" customWidth="1"/>
    <col min="4" max="4" width="17.42578125" customWidth="1"/>
  </cols>
  <sheetData>
    <row r="1" spans="1:4" x14ac:dyDescent="0.25">
      <c r="A1" t="s">
        <v>675</v>
      </c>
      <c r="B1" t="s">
        <v>2</v>
      </c>
      <c r="C1" t="s">
        <v>676</v>
      </c>
      <c r="D1" t="s">
        <v>674</v>
      </c>
    </row>
    <row r="2" spans="1:4" x14ac:dyDescent="0.25">
      <c r="A2" t="s">
        <v>673</v>
      </c>
      <c r="B2" t="s">
        <v>628</v>
      </c>
      <c r="C2">
        <v>12</v>
      </c>
      <c r="D2">
        <v>4.5</v>
      </c>
    </row>
    <row r="3" spans="1:4" x14ac:dyDescent="0.25">
      <c r="A3" t="s">
        <v>672</v>
      </c>
      <c r="B3" t="s">
        <v>627</v>
      </c>
      <c r="C3">
        <v>5</v>
      </c>
      <c r="D3">
        <v>3.2</v>
      </c>
    </row>
    <row r="4" spans="1:4" x14ac:dyDescent="0.25">
      <c r="A4" t="s">
        <v>671</v>
      </c>
      <c r="B4" t="s">
        <v>627</v>
      </c>
      <c r="C4">
        <v>8</v>
      </c>
      <c r="D4">
        <v>3.8</v>
      </c>
    </row>
    <row r="5" spans="1:4" x14ac:dyDescent="0.25">
      <c r="A5" t="s">
        <v>670</v>
      </c>
      <c r="B5" t="s">
        <v>628</v>
      </c>
      <c r="C5">
        <v>15</v>
      </c>
      <c r="D5">
        <v>4.8</v>
      </c>
    </row>
    <row r="6" spans="1:4" x14ac:dyDescent="0.25">
      <c r="A6" t="s">
        <v>669</v>
      </c>
      <c r="B6" t="s">
        <v>629</v>
      </c>
      <c r="C6">
        <v>3</v>
      </c>
      <c r="D6">
        <v>2.5</v>
      </c>
    </row>
    <row r="7" spans="1:4" x14ac:dyDescent="0.25">
      <c r="A7" t="s">
        <v>668</v>
      </c>
      <c r="B7" t="s">
        <v>628</v>
      </c>
      <c r="C7">
        <v>20</v>
      </c>
      <c r="D7">
        <v>5</v>
      </c>
    </row>
    <row r="8" spans="1:4" x14ac:dyDescent="0.25">
      <c r="A8" t="s">
        <v>667</v>
      </c>
      <c r="B8" t="s">
        <v>629</v>
      </c>
      <c r="C8">
        <v>7</v>
      </c>
      <c r="D8">
        <v>3.5</v>
      </c>
    </row>
    <row r="9" spans="1:4" x14ac:dyDescent="0.25">
      <c r="A9" t="s">
        <v>666</v>
      </c>
      <c r="B9" t="s">
        <v>629</v>
      </c>
      <c r="C9">
        <v>4</v>
      </c>
      <c r="D9">
        <v>3</v>
      </c>
    </row>
    <row r="10" spans="1:4" x14ac:dyDescent="0.25">
      <c r="A10" t="s">
        <v>665</v>
      </c>
      <c r="B10" t="s">
        <v>664</v>
      </c>
      <c r="C10">
        <v>6</v>
      </c>
      <c r="D10">
        <v>3.4</v>
      </c>
    </row>
    <row r="11" spans="1:4" x14ac:dyDescent="0.25">
      <c r="A11" t="s">
        <v>663</v>
      </c>
      <c r="B11" t="s">
        <v>628</v>
      </c>
      <c r="C11">
        <v>18</v>
      </c>
      <c r="D11">
        <v>4.9000000000000004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"/>
  <sheetViews>
    <sheetView workbookViewId="0">
      <selection activeCell="A3" sqref="A3"/>
    </sheetView>
  </sheetViews>
  <sheetFormatPr defaultRowHeight="15" x14ac:dyDescent="0.25"/>
  <cols>
    <col min="1" max="1" width="24" bestFit="1" customWidth="1"/>
    <col min="2" max="2" width="22.28515625" bestFit="1" customWidth="1"/>
  </cols>
  <sheetData>
    <row r="3" spans="1:2" x14ac:dyDescent="0.25">
      <c r="A3" t="s">
        <v>686</v>
      </c>
      <c r="B3" t="s">
        <v>685</v>
      </c>
    </row>
    <row r="4" spans="1:2" x14ac:dyDescent="0.25">
      <c r="A4" s="8">
        <v>98</v>
      </c>
      <c r="B4" s="8">
        <v>38.6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Pandey</dc:creator>
  <cp:lastModifiedBy>Abhishek Pandey</cp:lastModifiedBy>
  <dcterms:created xsi:type="dcterms:W3CDTF">2026-03-29T13:13:09Z</dcterms:created>
  <dcterms:modified xsi:type="dcterms:W3CDTF">2026-04-15T11:46:14Z</dcterms:modified>
</cp:coreProperties>
</file>